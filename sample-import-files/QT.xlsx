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5" activeTab="9"/>
  </bookViews>
  <sheets>
    <sheet name="RATIO- SEPT -26" sheetId="1" r:id="rId1"/>
    <sheet name="RATIO JAN-27" sheetId="2" r:id="rId2"/>
    <sheet name="PROPORTION JAN-27 (2)" sheetId="3" r:id="rId3"/>
    <sheet name="INDICES SEPT &amp; JAN-27 " sheetId="4" r:id="rId4"/>
    <sheet name="LOGARITHAM SEPT &amp; JAN-27)" sheetId="5" r:id="rId5"/>
    <sheet name="MCT -  STATI" sheetId="6" r:id="rId6"/>
    <sheet name="PART -2 STATI" sheetId="7" r:id="rId7"/>
    <sheet name="CHAPTER -2" sheetId="8" r:id="rId8"/>
    <sheet name="CHAPTER -2 -2" sheetId="9" r:id="rId9"/>
    <sheet name="CHAPTER -3" sheetId="10" r:id="rId10"/>
  </sheets>
  <calcPr calcId="152511"/>
</workbook>
</file>

<file path=xl/calcChain.xml><?xml version="1.0" encoding="utf-8"?>
<calcChain xmlns="http://schemas.openxmlformats.org/spreadsheetml/2006/main">
  <c r="D19" i="10" l="1"/>
  <c r="D10" i="10"/>
  <c r="D12" i="10"/>
  <c r="D7" i="10"/>
  <c r="D8" i="10"/>
  <c r="D13" i="10"/>
  <c r="D21" i="10"/>
  <c r="D22" i="10"/>
  <c r="D23" i="10"/>
  <c r="D11" i="10"/>
  <c r="D14" i="10"/>
  <c r="D18" i="10"/>
  <c r="D20" i="10"/>
  <c r="D15" i="10"/>
  <c r="D16" i="10"/>
  <c r="D24" i="10"/>
  <c r="D25" i="10"/>
  <c r="D9" i="10"/>
  <c r="D26" i="10"/>
  <c r="D17" i="10"/>
  <c r="G26" i="9" l="1"/>
  <c r="G25" i="9"/>
  <c r="D25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7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14" i="8" l="1"/>
  <c r="D13" i="8"/>
  <c r="D10" i="8"/>
  <c r="D15" i="8"/>
  <c r="D18" i="8"/>
  <c r="D11" i="8"/>
  <c r="D19" i="8"/>
  <c r="D7" i="8"/>
  <c r="D21" i="8"/>
  <c r="D20" i="8"/>
  <c r="D12" i="8"/>
  <c r="D23" i="8"/>
  <c r="D8" i="8"/>
  <c r="D17" i="8"/>
  <c r="D24" i="8"/>
  <c r="D16" i="8"/>
  <c r="D22" i="8"/>
  <c r="D9" i="8"/>
  <c r="D12" i="7" l="1"/>
  <c r="D9" i="7"/>
  <c r="D15" i="7"/>
  <c r="D16" i="7"/>
  <c r="D21" i="7"/>
  <c r="D20" i="7"/>
  <c r="D22" i="7"/>
  <c r="D10" i="7"/>
  <c r="D14" i="7"/>
  <c r="D13" i="7"/>
  <c r="D19" i="7"/>
  <c r="D17" i="7"/>
  <c r="D8" i="7"/>
  <c r="D7" i="7"/>
  <c r="D23" i="7"/>
  <c r="D24" i="7"/>
  <c r="D25" i="7"/>
  <c r="D26" i="7"/>
  <c r="D27" i="7"/>
  <c r="D18" i="7"/>
  <c r="D28" i="7"/>
  <c r="D29" i="7"/>
  <c r="D30" i="7"/>
  <c r="D31" i="7"/>
  <c r="D32" i="7"/>
  <c r="D33" i="7"/>
  <c r="D11" i="7"/>
  <c r="D18" i="6" l="1"/>
  <c r="D23" i="6"/>
  <c r="D24" i="6"/>
  <c r="D25" i="6"/>
  <c r="D11" i="6"/>
  <c r="D26" i="6"/>
  <c r="D27" i="6"/>
  <c r="D15" i="6"/>
  <c r="D14" i="6"/>
  <c r="D8" i="6"/>
  <c r="D28" i="6"/>
  <c r="D21" i="6"/>
  <c r="D12" i="6"/>
  <c r="D9" i="6"/>
  <c r="D19" i="6"/>
  <c r="D13" i="6"/>
  <c r="D16" i="6"/>
  <c r="D29" i="6"/>
  <c r="D10" i="6"/>
  <c r="D30" i="6"/>
  <c r="D17" i="6"/>
  <c r="D20" i="6"/>
  <c r="D31" i="6"/>
  <c r="D7" i="6"/>
  <c r="D32" i="6"/>
  <c r="D33" i="6"/>
  <c r="D22" i="6"/>
  <c r="D7" i="5"/>
  <c r="D15" i="5" l="1"/>
  <c r="D28" i="5"/>
  <c r="D21" i="5"/>
  <c r="D19" i="5"/>
  <c r="D16" i="5"/>
  <c r="D29" i="5"/>
  <c r="D22" i="5"/>
  <c r="D30" i="5"/>
  <c r="D8" i="5"/>
  <c r="D9" i="5"/>
  <c r="D13" i="5"/>
  <c r="D11" i="5"/>
  <c r="D25" i="5"/>
  <c r="D20" i="5"/>
  <c r="D18" i="5"/>
  <c r="D17" i="5"/>
  <c r="D31" i="5"/>
  <c r="D32" i="5"/>
  <c r="D23" i="5"/>
  <c r="D10" i="5"/>
  <c r="D14" i="5"/>
  <c r="D12" i="5"/>
  <c r="D26" i="5"/>
  <c r="D24" i="5"/>
  <c r="D27" i="5"/>
  <c r="D12" i="4"/>
  <c r="D19" i="4"/>
  <c r="D27" i="4"/>
  <c r="D15" i="4"/>
  <c r="D11" i="4"/>
  <c r="D10" i="4"/>
  <c r="D28" i="4"/>
  <c r="D16" i="4"/>
  <c r="D29" i="4"/>
  <c r="D13" i="4"/>
  <c r="D20" i="4"/>
  <c r="D9" i="4"/>
  <c r="D30" i="4"/>
  <c r="D14" i="4"/>
  <c r="D18" i="4"/>
  <c r="D7" i="4"/>
  <c r="D22" i="4"/>
  <c r="D31" i="4"/>
  <c r="D32" i="4"/>
  <c r="D8" i="4"/>
  <c r="D21" i="4"/>
  <c r="D17" i="4"/>
  <c r="D23" i="4"/>
  <c r="D25" i="4"/>
  <c r="D26" i="4"/>
  <c r="D24" i="4"/>
  <c r="D11" i="3" l="1"/>
  <c r="D8" i="3"/>
  <c r="D7" i="3"/>
  <c r="D12" i="3"/>
  <c r="D16" i="3"/>
  <c r="D19" i="3"/>
  <c r="D14" i="3"/>
  <c r="D13" i="3"/>
  <c r="D17" i="3"/>
  <c r="D15" i="3"/>
  <c r="D9" i="3"/>
  <c r="D18" i="3"/>
  <c r="D21" i="3"/>
  <c r="D22" i="3"/>
  <c r="D20" i="3"/>
  <c r="D10" i="3"/>
  <c r="D20" i="2"/>
  <c r="D14" i="2"/>
  <c r="D7" i="2"/>
  <c r="D21" i="2"/>
  <c r="D11" i="2"/>
  <c r="D8" i="2"/>
  <c r="D19" i="2"/>
  <c r="D12" i="2"/>
  <c r="D13" i="2"/>
  <c r="D10" i="2"/>
  <c r="D15" i="2"/>
  <c r="D22" i="2"/>
  <c r="D16" i="2"/>
  <c r="D17" i="2"/>
  <c r="D18" i="2"/>
  <c r="D9" i="2"/>
  <c r="D10" i="1" l="1"/>
  <c r="D16" i="1"/>
  <c r="D8" i="1"/>
  <c r="D13" i="1"/>
  <c r="D12" i="1"/>
  <c r="D15" i="1"/>
  <c r="D14" i="1"/>
  <c r="D11" i="1"/>
  <c r="D7" i="1"/>
  <c r="D9" i="1"/>
</calcChain>
</file>

<file path=xl/sharedStrings.xml><?xml version="1.0" encoding="utf-8"?>
<sst xmlns="http://schemas.openxmlformats.org/spreadsheetml/2006/main" count="385" uniqueCount="63">
  <si>
    <t>IAM TIRUR</t>
  </si>
  <si>
    <t>CA FOUNDATION  - SEPTEMBER 2026</t>
  </si>
  <si>
    <t>TEST SERIES</t>
  </si>
  <si>
    <t>SL.NO</t>
  </si>
  <si>
    <t>NAME</t>
  </si>
  <si>
    <t>%</t>
  </si>
  <si>
    <t>RANK</t>
  </si>
  <si>
    <t>RISHA FATHIMA</t>
  </si>
  <si>
    <t>SHAHADA K</t>
  </si>
  <si>
    <t>MAZIN</t>
  </si>
  <si>
    <t>SANEEHA VM</t>
  </si>
  <si>
    <t>JISLA</t>
  </si>
  <si>
    <t>MOHD SHIFAN</t>
  </si>
  <si>
    <t>SHANHA</t>
  </si>
  <si>
    <t>MOHD NAVAS</t>
  </si>
  <si>
    <t>SHIFA</t>
  </si>
  <si>
    <t>MOHD SALMAN</t>
  </si>
  <si>
    <t>MORE THAN 60%</t>
  </si>
  <si>
    <t>SAFE ZONE</t>
  </si>
  <si>
    <t>BETWEEN 40% TO 60%</t>
  </si>
  <si>
    <t>FIFTY-FIFTY ZONE</t>
  </si>
  <si>
    <t>LESS THAN 40%</t>
  </si>
  <si>
    <t>DANGER ZONE</t>
  </si>
  <si>
    <t>Learn, Grow and Succeed…it’s your Choice</t>
  </si>
  <si>
    <t>PAPER -3 - QT</t>
  </si>
  <si>
    <t>UNIT EAXAM1 - RATIO</t>
  </si>
  <si>
    <t>MARK(20)</t>
  </si>
  <si>
    <t>ANSILA VP</t>
  </si>
  <si>
    <t>LIYA FATHIMA</t>
  </si>
  <si>
    <t>SHAHALA</t>
  </si>
  <si>
    <t>NIDHA AKBAR T</t>
  </si>
  <si>
    <t>SHIFA SCI</t>
  </si>
  <si>
    <t>FATHIMA LISHANA MP</t>
  </si>
  <si>
    <t>FATHIMA SANA M</t>
  </si>
  <si>
    <t>KAVYA MP</t>
  </si>
  <si>
    <t>MOHD SHIBIL K</t>
  </si>
  <si>
    <t>DIYA JAFFER T P</t>
  </si>
  <si>
    <t xml:space="preserve">MOHD SAEED </t>
  </si>
  <si>
    <t>ARJUN A</t>
  </si>
  <si>
    <t>SNEHA C</t>
  </si>
  <si>
    <t>RAZIL RAHMAN</t>
  </si>
  <si>
    <t>ASIYA AFNA P T</t>
  </si>
  <si>
    <t>ZAID AHAMMED FAZIL</t>
  </si>
  <si>
    <t xml:space="preserve"> </t>
  </si>
  <si>
    <t>UNIT EAXAM 2 - PROPORTION</t>
  </si>
  <si>
    <t>MARK(10)</t>
  </si>
  <si>
    <t>UNIT EAXAM 3 - INDICES</t>
  </si>
  <si>
    <t>MARK(15)</t>
  </si>
  <si>
    <t>CA FOUNDATION  - SEPT 2026 &amp; JAN 2027</t>
  </si>
  <si>
    <t>UNIT EAXAM 4 -LOGARITHM</t>
  </si>
  <si>
    <t>MARK(30)</t>
  </si>
  <si>
    <t>HAFNAS</t>
  </si>
  <si>
    <t>PART EXAM 1 -MCT</t>
  </si>
  <si>
    <t>PART EXAM 2 -THEORATICAL DISTRIBUTION</t>
  </si>
  <si>
    <t>MARK(50)</t>
  </si>
  <si>
    <t>MARK(25)</t>
  </si>
  <si>
    <t>PART EXAM 2 -CHAPTER -2</t>
  </si>
  <si>
    <t>HASNA</t>
  </si>
  <si>
    <t>HASHIM</t>
  </si>
  <si>
    <t>CA FOUNDATION  -  JAN 2027</t>
  </si>
  <si>
    <t>SHIBILIYA</t>
  </si>
  <si>
    <t>JIFNA</t>
  </si>
  <si>
    <t>PART EXAM 2 -CHAPTER 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</si>
</sst>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2" borderId="2" xfId="0" applyFill="1" applyBorder="1"/>
    <xf numFmtId="0" fontId="6" fillId="2" borderId="2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B7" sqref="B7:B16"/>
    </sheetView>
  </sheetViews>
  <sheetFormatPr defaultRowHeight="15" x14ac:dyDescent="0.25"/>
  <cols>
    <col min="2" max="2" width="23.42578125" bestFit="1" customWidth="1"/>
    <col min="3" max="3" width="17.7109375" bestFit="1" customWidth="1"/>
    <col min="4" max="4" width="4.28515625" customWidth="1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1</v>
      </c>
      <c r="B2" s="12"/>
      <c r="C2" s="12"/>
      <c r="D2" s="12"/>
      <c r="E2" s="12"/>
    </row>
    <row r="3" spans="1:5" ht="23.25" x14ac:dyDescent="0.35">
      <c r="A3" s="12" t="s">
        <v>24</v>
      </c>
      <c r="B3" s="12"/>
      <c r="C3" s="12"/>
      <c r="D3" s="12"/>
      <c r="E3" s="12"/>
    </row>
    <row r="4" spans="1:5" ht="23.25" x14ac:dyDescent="0.35">
      <c r="A4" s="12" t="s">
        <v>2</v>
      </c>
      <c r="B4" s="12"/>
      <c r="C4" s="12"/>
      <c r="D4" s="12"/>
      <c r="E4" s="12"/>
    </row>
    <row r="5" spans="1:5" ht="23.25" x14ac:dyDescent="0.35">
      <c r="A5" s="13" t="s">
        <v>25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26</v>
      </c>
      <c r="D6" s="3" t="s">
        <v>5</v>
      </c>
      <c r="E6" s="3" t="s">
        <v>6</v>
      </c>
    </row>
    <row r="7" spans="1:5" x14ac:dyDescent="0.25">
      <c r="A7" s="4">
        <v>1</v>
      </c>
      <c r="B7" s="4" t="s">
        <v>8</v>
      </c>
      <c r="C7" s="5">
        <v>18</v>
      </c>
      <c r="D7" s="1">
        <f t="shared" ref="D7:D16" si="0">C7/30*100</f>
        <v>60</v>
      </c>
      <c r="E7" s="5">
        <v>1</v>
      </c>
    </row>
    <row r="8" spans="1:5" x14ac:dyDescent="0.25">
      <c r="A8" s="4">
        <v>2</v>
      </c>
      <c r="B8" s="4" t="s">
        <v>14</v>
      </c>
      <c r="C8" s="5">
        <v>18</v>
      </c>
      <c r="D8" s="1">
        <f t="shared" si="0"/>
        <v>60</v>
      </c>
      <c r="E8" s="5">
        <v>1</v>
      </c>
    </row>
    <row r="9" spans="1:5" x14ac:dyDescent="0.25">
      <c r="A9" s="4">
        <v>3</v>
      </c>
      <c r="B9" s="4" t="s">
        <v>7</v>
      </c>
      <c r="C9" s="5">
        <v>14.5</v>
      </c>
      <c r="D9" s="1">
        <f t="shared" si="0"/>
        <v>48.333333333333336</v>
      </c>
      <c r="E9" s="5">
        <v>2</v>
      </c>
    </row>
    <row r="10" spans="1:5" x14ac:dyDescent="0.25">
      <c r="A10" s="4">
        <v>4</v>
      </c>
      <c r="B10" s="4" t="s">
        <v>16</v>
      </c>
      <c r="C10" s="5">
        <v>14.5</v>
      </c>
      <c r="D10" s="1">
        <f t="shared" si="0"/>
        <v>48.333333333333336</v>
      </c>
      <c r="E10" s="5">
        <v>2</v>
      </c>
    </row>
    <row r="11" spans="1:5" x14ac:dyDescent="0.25">
      <c r="A11" s="4">
        <v>5</v>
      </c>
      <c r="B11" s="4" t="s">
        <v>9</v>
      </c>
      <c r="C11" s="5">
        <v>13.5</v>
      </c>
      <c r="D11" s="1">
        <f t="shared" si="0"/>
        <v>45</v>
      </c>
      <c r="E11" s="5">
        <v>3</v>
      </c>
    </row>
    <row r="12" spans="1:5" x14ac:dyDescent="0.25">
      <c r="A12" s="4">
        <v>6</v>
      </c>
      <c r="B12" s="4" t="s">
        <v>12</v>
      </c>
      <c r="C12" s="5">
        <v>12.75</v>
      </c>
      <c r="D12" s="1">
        <f t="shared" si="0"/>
        <v>42.5</v>
      </c>
      <c r="E12" s="5">
        <v>4</v>
      </c>
    </row>
    <row r="13" spans="1:5" x14ac:dyDescent="0.25">
      <c r="A13" s="4">
        <v>7</v>
      </c>
      <c r="B13" s="4" t="s">
        <v>13</v>
      </c>
      <c r="C13" s="5">
        <v>12</v>
      </c>
      <c r="D13" s="1">
        <f t="shared" si="0"/>
        <v>40</v>
      </c>
      <c r="E13" s="5">
        <v>5</v>
      </c>
    </row>
    <row r="14" spans="1:5" x14ac:dyDescent="0.25">
      <c r="A14" s="4">
        <v>8</v>
      </c>
      <c r="B14" s="4" t="s">
        <v>10</v>
      </c>
      <c r="C14" s="5"/>
      <c r="D14" s="1">
        <f t="shared" si="0"/>
        <v>0</v>
      </c>
      <c r="E14" s="5">
        <v>0</v>
      </c>
    </row>
    <row r="15" spans="1:5" x14ac:dyDescent="0.25">
      <c r="A15" s="4">
        <v>9</v>
      </c>
      <c r="B15" s="4" t="s">
        <v>11</v>
      </c>
      <c r="C15" s="5"/>
      <c r="D15" s="1">
        <f t="shared" si="0"/>
        <v>0</v>
      </c>
      <c r="E15" s="5">
        <v>0</v>
      </c>
    </row>
    <row r="16" spans="1:5" x14ac:dyDescent="0.25">
      <c r="A16" s="4">
        <v>10</v>
      </c>
      <c r="B16" s="4" t="s">
        <v>15</v>
      </c>
      <c r="C16" s="5"/>
      <c r="D16" s="1">
        <f t="shared" si="0"/>
        <v>0</v>
      </c>
      <c r="E16" s="5">
        <v>0</v>
      </c>
    </row>
    <row r="17" spans="1:5" x14ac:dyDescent="0.25">
      <c r="C17" s="6"/>
      <c r="D17" s="6"/>
      <c r="E17" s="6"/>
    </row>
    <row r="18" spans="1:5" ht="15.75" x14ac:dyDescent="0.25">
      <c r="B18" s="7" t="s">
        <v>17</v>
      </c>
      <c r="C18" s="7" t="s">
        <v>18</v>
      </c>
      <c r="D18" s="6"/>
      <c r="E18" s="6"/>
    </row>
    <row r="19" spans="1:5" ht="15.75" x14ac:dyDescent="0.25">
      <c r="B19" s="7" t="s">
        <v>19</v>
      </c>
      <c r="C19" s="7" t="s">
        <v>20</v>
      </c>
      <c r="D19" s="6"/>
      <c r="E19" s="6"/>
    </row>
    <row r="20" spans="1:5" ht="15.75" x14ac:dyDescent="0.25">
      <c r="B20" s="7" t="s">
        <v>21</v>
      </c>
      <c r="C20" s="7" t="s">
        <v>22</v>
      </c>
      <c r="D20" s="6"/>
      <c r="E20" s="6"/>
    </row>
    <row r="21" spans="1:5" x14ac:dyDescent="0.25">
      <c r="C21" s="6"/>
    </row>
    <row r="22" spans="1:5" x14ac:dyDescent="0.25">
      <c r="A22" s="8" t="s">
        <v>23</v>
      </c>
      <c r="C22" s="6"/>
    </row>
  </sheetData>
  <sortState ref="B7:D16">
    <sortCondition descending="1" ref="D7:D16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C18" sqref="C18"/>
    </sheetView>
  </sheetViews>
  <sheetFormatPr defaultRowHeight="15" x14ac:dyDescent="0.25"/>
  <cols>
    <col min="2" max="2" width="23.42578125" bestFit="1" customWidth="1"/>
    <col min="3" max="3" width="17.7109375" bestFit="1" customWidth="1"/>
    <col min="4" max="4" width="4.28515625" customWidth="1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1</v>
      </c>
      <c r="B2" s="12"/>
      <c r="C2" s="12"/>
      <c r="D2" s="12"/>
      <c r="E2" s="12"/>
    </row>
    <row r="3" spans="1:5" ht="23.25" x14ac:dyDescent="0.35">
      <c r="A3" s="12" t="s">
        <v>24</v>
      </c>
      <c r="B3" s="12"/>
      <c r="C3" s="12"/>
      <c r="D3" s="12"/>
      <c r="E3" s="12"/>
    </row>
    <row r="4" spans="1:5" ht="23.25" x14ac:dyDescent="0.35">
      <c r="A4" s="12" t="s">
        <v>2</v>
      </c>
      <c r="B4" s="12"/>
      <c r="C4" s="12"/>
      <c r="D4" s="12"/>
      <c r="E4" s="12"/>
    </row>
    <row r="5" spans="1:5" ht="23.25" x14ac:dyDescent="0.35">
      <c r="A5" s="13" t="s">
        <v>25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26</v>
      </c>
      <c r="D6" s="3" t="s">
        <v>5</v>
      </c>
      <c r="E6" s="3" t="s">
        <v>6</v>
      </c>
    </row>
    <row r="7" spans="1:5" x14ac:dyDescent="0.25">
      <c r="A7" s="4">
        <v>1</v>
      </c>
      <c r="B7" s="10" t="s">
        <v>30</v>
      </c>
      <c r="C7" s="5">
        <v>16.75</v>
      </c>
      <c r="D7" s="1">
        <f t="shared" ref="D7:D22" si="0">C7/20*100</f>
        <v>83.75</v>
      </c>
      <c r="E7" s="5">
        <v>1</v>
      </c>
    </row>
    <row r="8" spans="1:5" x14ac:dyDescent="0.25">
      <c r="A8" s="4">
        <v>2</v>
      </c>
      <c r="B8" s="4" t="s">
        <v>33</v>
      </c>
      <c r="C8" s="5">
        <v>16.75</v>
      </c>
      <c r="D8" s="1">
        <f t="shared" si="0"/>
        <v>83.75</v>
      </c>
      <c r="E8" s="5">
        <v>1</v>
      </c>
    </row>
    <row r="9" spans="1:5" x14ac:dyDescent="0.25">
      <c r="A9" s="4">
        <v>3</v>
      </c>
      <c r="B9" s="9" t="s">
        <v>27</v>
      </c>
      <c r="C9" s="5">
        <v>15.5</v>
      </c>
      <c r="D9" s="1">
        <f t="shared" si="0"/>
        <v>77.5</v>
      </c>
      <c r="E9" s="5">
        <v>2</v>
      </c>
    </row>
    <row r="10" spans="1:5" x14ac:dyDescent="0.25">
      <c r="A10" s="4">
        <v>4</v>
      </c>
      <c r="B10" s="9" t="s">
        <v>37</v>
      </c>
      <c r="C10" s="5">
        <v>13.75</v>
      </c>
      <c r="D10" s="1">
        <f t="shared" si="0"/>
        <v>68.75</v>
      </c>
      <c r="E10" s="5">
        <v>3</v>
      </c>
    </row>
    <row r="11" spans="1:5" x14ac:dyDescent="0.25">
      <c r="A11" s="4">
        <v>5</v>
      </c>
      <c r="B11" s="9" t="s">
        <v>32</v>
      </c>
      <c r="C11" s="5">
        <v>13.5</v>
      </c>
      <c r="D11" s="1">
        <f t="shared" si="0"/>
        <v>67.5</v>
      </c>
      <c r="E11" s="5">
        <v>4</v>
      </c>
    </row>
    <row r="12" spans="1:5" x14ac:dyDescent="0.25">
      <c r="A12" s="4">
        <v>6</v>
      </c>
      <c r="B12" s="9" t="s">
        <v>35</v>
      </c>
      <c r="C12" s="5">
        <v>13.5</v>
      </c>
      <c r="D12" s="1">
        <f t="shared" si="0"/>
        <v>67.5</v>
      </c>
      <c r="E12" s="5">
        <v>4</v>
      </c>
    </row>
    <row r="13" spans="1:5" x14ac:dyDescent="0.25">
      <c r="A13" s="4">
        <v>7</v>
      </c>
      <c r="B13" s="4" t="s">
        <v>36</v>
      </c>
      <c r="C13" s="5">
        <v>11.5</v>
      </c>
      <c r="D13" s="1">
        <f t="shared" si="0"/>
        <v>57.499999999999993</v>
      </c>
      <c r="E13" s="5">
        <v>5</v>
      </c>
    </row>
    <row r="14" spans="1:5" x14ac:dyDescent="0.25">
      <c r="A14" s="4">
        <v>8</v>
      </c>
      <c r="B14" s="10" t="s">
        <v>29</v>
      </c>
      <c r="C14" s="5">
        <v>8.5</v>
      </c>
      <c r="D14" s="1">
        <f t="shared" si="0"/>
        <v>42.5</v>
      </c>
      <c r="E14" s="5">
        <v>6</v>
      </c>
    </row>
    <row r="15" spans="1:5" x14ac:dyDescent="0.25">
      <c r="A15" s="4">
        <v>9</v>
      </c>
      <c r="B15" s="10" t="s">
        <v>38</v>
      </c>
      <c r="C15" s="5">
        <v>7.75</v>
      </c>
      <c r="D15" s="1">
        <f t="shared" si="0"/>
        <v>38.75</v>
      </c>
      <c r="E15" s="5">
        <v>7</v>
      </c>
    </row>
    <row r="16" spans="1:5" x14ac:dyDescent="0.25">
      <c r="A16" s="4">
        <v>10</v>
      </c>
      <c r="B16" s="10" t="s">
        <v>40</v>
      </c>
      <c r="C16" s="5">
        <v>7.25</v>
      </c>
      <c r="D16" s="1">
        <f t="shared" si="0"/>
        <v>36.25</v>
      </c>
      <c r="E16" s="5">
        <v>8</v>
      </c>
    </row>
    <row r="17" spans="1:10" x14ac:dyDescent="0.25">
      <c r="A17" s="4">
        <v>11</v>
      </c>
      <c r="B17" s="10" t="s">
        <v>41</v>
      </c>
      <c r="C17" s="5">
        <v>6.5</v>
      </c>
      <c r="D17" s="1">
        <f t="shared" si="0"/>
        <v>32.5</v>
      </c>
      <c r="E17" s="5">
        <v>9</v>
      </c>
    </row>
    <row r="18" spans="1:10" x14ac:dyDescent="0.25">
      <c r="A18" s="4">
        <v>12</v>
      </c>
      <c r="B18" s="9" t="s">
        <v>42</v>
      </c>
      <c r="C18" s="5">
        <v>5.25</v>
      </c>
      <c r="D18" s="1">
        <f t="shared" si="0"/>
        <v>26.25</v>
      </c>
      <c r="E18" s="5">
        <v>10</v>
      </c>
    </row>
    <row r="19" spans="1:10" x14ac:dyDescent="0.25">
      <c r="A19" s="4">
        <v>13</v>
      </c>
      <c r="B19" s="10" t="s">
        <v>34</v>
      </c>
      <c r="C19" s="5">
        <v>2.75</v>
      </c>
      <c r="D19" s="1">
        <f t="shared" si="0"/>
        <v>13.750000000000002</v>
      </c>
      <c r="E19" s="5">
        <v>11</v>
      </c>
    </row>
    <row r="20" spans="1:10" x14ac:dyDescent="0.25">
      <c r="A20" s="4">
        <v>14</v>
      </c>
      <c r="B20" s="10" t="s">
        <v>28</v>
      </c>
      <c r="C20" s="5"/>
      <c r="D20" s="1">
        <f t="shared" si="0"/>
        <v>0</v>
      </c>
      <c r="E20" s="5"/>
    </row>
    <row r="21" spans="1:10" x14ac:dyDescent="0.25">
      <c r="A21" s="4">
        <v>15</v>
      </c>
      <c r="B21" s="4" t="s">
        <v>31</v>
      </c>
      <c r="C21" s="5"/>
      <c r="D21" s="1">
        <f t="shared" si="0"/>
        <v>0</v>
      </c>
      <c r="E21" s="5"/>
    </row>
    <row r="22" spans="1:10" x14ac:dyDescent="0.25">
      <c r="A22" s="4">
        <v>16</v>
      </c>
      <c r="B22" s="4" t="s">
        <v>39</v>
      </c>
      <c r="C22" s="5"/>
      <c r="D22" s="1">
        <f t="shared" si="0"/>
        <v>0</v>
      </c>
      <c r="E22" s="5"/>
    </row>
    <row r="24" spans="1:10" ht="15.75" x14ac:dyDescent="0.25">
      <c r="B24" s="7" t="s">
        <v>17</v>
      </c>
      <c r="C24" s="7" t="s">
        <v>18</v>
      </c>
    </row>
    <row r="25" spans="1:10" ht="15.75" x14ac:dyDescent="0.25">
      <c r="B25" s="7" t="s">
        <v>19</v>
      </c>
      <c r="C25" s="7" t="s">
        <v>20</v>
      </c>
    </row>
    <row r="26" spans="1:10" ht="15.75" x14ac:dyDescent="0.25">
      <c r="B26" s="7" t="s">
        <v>21</v>
      </c>
      <c r="C26" s="7" t="s">
        <v>22</v>
      </c>
    </row>
    <row r="27" spans="1:10" x14ac:dyDescent="0.25">
      <c r="C27" s="6"/>
    </row>
    <row r="28" spans="1:10" x14ac:dyDescent="0.25">
      <c r="A28" s="8" t="s">
        <v>23</v>
      </c>
      <c r="C28" s="6"/>
    </row>
    <row r="29" spans="1:10" x14ac:dyDescent="0.25">
      <c r="J29" t="s">
        <v>43</v>
      </c>
    </row>
  </sheetData>
  <sortState ref="B7:D19">
    <sortCondition descending="1" ref="D7:D19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3" workbookViewId="0">
      <selection activeCell="K29" sqref="K29"/>
    </sheetView>
  </sheetViews>
  <sheetFormatPr defaultRowHeight="15" x14ac:dyDescent="0.25"/>
  <cols>
    <col min="2" max="2" width="23.42578125" bestFit="1" customWidth="1"/>
    <col min="3" max="3" width="17.7109375" bestFit="1" customWidth="1"/>
    <col min="4" max="4" width="4.28515625" customWidth="1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1</v>
      </c>
      <c r="B2" s="12"/>
      <c r="C2" s="12"/>
      <c r="D2" s="12"/>
      <c r="E2" s="12"/>
    </row>
    <row r="3" spans="1:5" ht="23.25" x14ac:dyDescent="0.35">
      <c r="A3" s="12" t="s">
        <v>24</v>
      </c>
      <c r="B3" s="12"/>
      <c r="C3" s="12"/>
      <c r="D3" s="12"/>
      <c r="E3" s="12"/>
    </row>
    <row r="4" spans="1:5" ht="23.25" x14ac:dyDescent="0.35">
      <c r="A4" s="12" t="s">
        <v>2</v>
      </c>
      <c r="B4" s="12"/>
      <c r="C4" s="12"/>
      <c r="D4" s="12"/>
      <c r="E4" s="12"/>
    </row>
    <row r="5" spans="1:5" ht="23.25" x14ac:dyDescent="0.35">
      <c r="A5" s="13" t="s">
        <v>44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45</v>
      </c>
      <c r="D6" s="3" t="s">
        <v>5</v>
      </c>
      <c r="E6" s="3" t="s">
        <v>6</v>
      </c>
    </row>
    <row r="7" spans="1:5" x14ac:dyDescent="0.25">
      <c r="A7" s="4">
        <v>1</v>
      </c>
      <c r="B7" s="9" t="s">
        <v>37</v>
      </c>
      <c r="C7" s="5">
        <v>7.5</v>
      </c>
      <c r="D7" s="1">
        <f t="shared" ref="D7:D22" si="0">C7/10*100</f>
        <v>75</v>
      </c>
      <c r="E7" s="5">
        <v>1</v>
      </c>
    </row>
    <row r="8" spans="1:5" x14ac:dyDescent="0.25">
      <c r="A8" s="4">
        <v>2</v>
      </c>
      <c r="B8" s="9" t="s">
        <v>27</v>
      </c>
      <c r="C8" s="5">
        <v>6.75</v>
      </c>
      <c r="D8" s="1">
        <f t="shared" si="0"/>
        <v>67.5</v>
      </c>
      <c r="E8" s="5">
        <v>2</v>
      </c>
    </row>
    <row r="9" spans="1:5" x14ac:dyDescent="0.25">
      <c r="A9" s="4">
        <v>3</v>
      </c>
      <c r="B9" s="9" t="s">
        <v>42</v>
      </c>
      <c r="C9" s="5">
        <v>6.75</v>
      </c>
      <c r="D9" s="1">
        <f t="shared" si="0"/>
        <v>67.5</v>
      </c>
      <c r="E9" s="5">
        <v>2</v>
      </c>
    </row>
    <row r="10" spans="1:5" x14ac:dyDescent="0.25">
      <c r="A10" s="4">
        <v>4</v>
      </c>
      <c r="B10" s="10" t="s">
        <v>30</v>
      </c>
      <c r="C10" s="5">
        <v>6.5</v>
      </c>
      <c r="D10" s="1">
        <f t="shared" si="0"/>
        <v>65</v>
      </c>
      <c r="E10" s="5">
        <v>3</v>
      </c>
    </row>
    <row r="11" spans="1:5" x14ac:dyDescent="0.25">
      <c r="A11" s="4">
        <v>5</v>
      </c>
      <c r="B11" s="4" t="s">
        <v>33</v>
      </c>
      <c r="C11" s="5">
        <v>5.75</v>
      </c>
      <c r="D11" s="1">
        <f t="shared" si="0"/>
        <v>57.499999999999993</v>
      </c>
      <c r="E11" s="5">
        <v>4</v>
      </c>
    </row>
    <row r="12" spans="1:5" x14ac:dyDescent="0.25">
      <c r="A12" s="4">
        <v>6</v>
      </c>
      <c r="B12" s="9" t="s">
        <v>32</v>
      </c>
      <c r="C12" s="5">
        <v>5.75</v>
      </c>
      <c r="D12" s="1">
        <f t="shared" si="0"/>
        <v>57.499999999999993</v>
      </c>
      <c r="E12" s="5">
        <v>4</v>
      </c>
    </row>
    <row r="13" spans="1:5" x14ac:dyDescent="0.25">
      <c r="A13" s="4">
        <v>7</v>
      </c>
      <c r="B13" s="10" t="s">
        <v>38</v>
      </c>
      <c r="C13" s="5">
        <v>5.75</v>
      </c>
      <c r="D13" s="1">
        <f t="shared" si="0"/>
        <v>57.499999999999993</v>
      </c>
      <c r="E13" s="5">
        <v>4</v>
      </c>
    </row>
    <row r="14" spans="1:5" x14ac:dyDescent="0.25">
      <c r="A14" s="4">
        <v>8</v>
      </c>
      <c r="B14" s="10" t="s">
        <v>29</v>
      </c>
      <c r="C14" s="5">
        <v>5.5</v>
      </c>
      <c r="D14" s="1">
        <f t="shared" si="0"/>
        <v>55.000000000000007</v>
      </c>
      <c r="E14" s="5">
        <v>5</v>
      </c>
    </row>
    <row r="15" spans="1:5" x14ac:dyDescent="0.25">
      <c r="A15" s="4">
        <v>9</v>
      </c>
      <c r="B15" s="10" t="s">
        <v>41</v>
      </c>
      <c r="C15" s="5">
        <v>5</v>
      </c>
      <c r="D15" s="1">
        <f t="shared" si="0"/>
        <v>50</v>
      </c>
      <c r="E15" s="5">
        <v>6</v>
      </c>
    </row>
    <row r="16" spans="1:5" x14ac:dyDescent="0.25">
      <c r="A16" s="4">
        <v>10</v>
      </c>
      <c r="B16" s="9" t="s">
        <v>35</v>
      </c>
      <c r="C16" s="5">
        <v>4.5</v>
      </c>
      <c r="D16" s="1">
        <f t="shared" si="0"/>
        <v>45</v>
      </c>
      <c r="E16" s="5">
        <v>7</v>
      </c>
    </row>
    <row r="17" spans="1:10" x14ac:dyDescent="0.25">
      <c r="A17" s="4">
        <v>11</v>
      </c>
      <c r="B17" s="10" t="s">
        <v>40</v>
      </c>
      <c r="C17" s="5">
        <v>4.25</v>
      </c>
      <c r="D17" s="1">
        <f t="shared" si="0"/>
        <v>42.5</v>
      </c>
      <c r="E17" s="5">
        <v>8</v>
      </c>
    </row>
    <row r="18" spans="1:10" x14ac:dyDescent="0.25">
      <c r="A18" s="4">
        <v>12</v>
      </c>
      <c r="B18" s="10" t="s">
        <v>34</v>
      </c>
      <c r="C18" s="5">
        <v>4.25</v>
      </c>
      <c r="D18" s="1">
        <f t="shared" si="0"/>
        <v>42.5</v>
      </c>
      <c r="E18" s="5">
        <v>8</v>
      </c>
    </row>
    <row r="19" spans="1:10" x14ac:dyDescent="0.25">
      <c r="A19" s="4">
        <v>13</v>
      </c>
      <c r="B19" s="4" t="s">
        <v>36</v>
      </c>
      <c r="C19" s="5">
        <v>3.5</v>
      </c>
      <c r="D19" s="1">
        <f t="shared" si="0"/>
        <v>35</v>
      </c>
      <c r="E19" s="5">
        <v>9</v>
      </c>
    </row>
    <row r="20" spans="1:10" x14ac:dyDescent="0.25">
      <c r="A20" s="4">
        <v>14</v>
      </c>
      <c r="B20" s="4" t="s">
        <v>39</v>
      </c>
      <c r="C20" s="5">
        <v>1</v>
      </c>
      <c r="D20" s="1">
        <f t="shared" si="0"/>
        <v>10</v>
      </c>
      <c r="E20" s="5">
        <v>10</v>
      </c>
    </row>
    <row r="21" spans="1:10" x14ac:dyDescent="0.25">
      <c r="A21" s="4">
        <v>15</v>
      </c>
      <c r="B21" s="10" t="s">
        <v>28</v>
      </c>
      <c r="C21" s="5"/>
      <c r="D21" s="1">
        <f t="shared" si="0"/>
        <v>0</v>
      </c>
      <c r="E21" s="5"/>
    </row>
    <row r="22" spans="1:10" x14ac:dyDescent="0.25">
      <c r="A22" s="4">
        <v>16</v>
      </c>
      <c r="B22" s="4" t="s">
        <v>31</v>
      </c>
      <c r="C22" s="5"/>
      <c r="D22" s="1">
        <f t="shared" si="0"/>
        <v>0</v>
      </c>
      <c r="E22" s="5"/>
    </row>
    <row r="24" spans="1:10" ht="15.75" x14ac:dyDescent="0.25">
      <c r="B24" s="7" t="s">
        <v>17</v>
      </c>
      <c r="C24" s="7" t="s">
        <v>18</v>
      </c>
    </row>
    <row r="25" spans="1:10" ht="15.75" x14ac:dyDescent="0.25">
      <c r="B25" s="7" t="s">
        <v>19</v>
      </c>
      <c r="C25" s="7" t="s">
        <v>20</v>
      </c>
    </row>
    <row r="26" spans="1:10" ht="15.75" x14ac:dyDescent="0.25">
      <c r="B26" s="7" t="s">
        <v>21</v>
      </c>
      <c r="C26" s="7" t="s">
        <v>22</v>
      </c>
    </row>
    <row r="27" spans="1:10" x14ac:dyDescent="0.25">
      <c r="C27" s="6"/>
    </row>
    <row r="28" spans="1:10" x14ac:dyDescent="0.25">
      <c r="A28" s="8" t="s">
        <v>23</v>
      </c>
      <c r="C28" s="6"/>
    </row>
    <row r="29" spans="1:10" x14ac:dyDescent="0.25">
      <c r="J29" t="s">
        <v>43</v>
      </c>
    </row>
  </sheetData>
  <sortState ref="B7:D22">
    <sortCondition descending="1" ref="D7:D22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selection activeCell="Q17" sqref="Q17"/>
    </sheetView>
  </sheetViews>
  <sheetFormatPr defaultRowHeight="15" x14ac:dyDescent="0.25"/>
  <cols>
    <col min="2" max="2" width="23.42578125" bestFit="1" customWidth="1"/>
    <col min="3" max="3" width="17.7109375" style="6" bestFit="1" customWidth="1"/>
    <col min="4" max="4" width="4.28515625" customWidth="1"/>
    <col min="5" max="5" width="9.140625" style="6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48</v>
      </c>
      <c r="B2" s="12"/>
      <c r="C2" s="12"/>
      <c r="D2" s="12"/>
      <c r="E2" s="12"/>
    </row>
    <row r="3" spans="1:5" ht="23.25" x14ac:dyDescent="0.35">
      <c r="A3" s="12" t="s">
        <v>24</v>
      </c>
      <c r="B3" s="12"/>
      <c r="C3" s="12"/>
      <c r="D3" s="12"/>
      <c r="E3" s="12"/>
    </row>
    <row r="4" spans="1:5" ht="23.25" x14ac:dyDescent="0.35">
      <c r="A4" s="12" t="s">
        <v>2</v>
      </c>
      <c r="B4" s="12"/>
      <c r="C4" s="12"/>
      <c r="D4" s="12"/>
      <c r="E4" s="12"/>
    </row>
    <row r="5" spans="1:5" ht="23.25" x14ac:dyDescent="0.35">
      <c r="A5" s="13" t="s">
        <v>46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47</v>
      </c>
      <c r="D6" s="3" t="s">
        <v>5</v>
      </c>
      <c r="E6" s="3" t="s">
        <v>6</v>
      </c>
    </row>
    <row r="7" spans="1:5" x14ac:dyDescent="0.25">
      <c r="A7" s="4">
        <v>1</v>
      </c>
      <c r="B7" s="10" t="s">
        <v>30</v>
      </c>
      <c r="C7" s="5">
        <v>11.75</v>
      </c>
      <c r="D7" s="1">
        <f t="shared" ref="D7:D32" si="0">C7/15*100</f>
        <v>78.333333333333329</v>
      </c>
      <c r="E7" s="5">
        <v>1</v>
      </c>
    </row>
    <row r="8" spans="1:5" x14ac:dyDescent="0.25">
      <c r="A8" s="4">
        <v>2</v>
      </c>
      <c r="B8" s="4" t="s">
        <v>8</v>
      </c>
      <c r="C8" s="5">
        <v>10.75</v>
      </c>
      <c r="D8" s="1">
        <f t="shared" si="0"/>
        <v>71.666666666666671</v>
      </c>
      <c r="E8" s="5">
        <v>2</v>
      </c>
    </row>
    <row r="9" spans="1:5" x14ac:dyDescent="0.25">
      <c r="A9" s="4">
        <v>3</v>
      </c>
      <c r="B9" s="9" t="s">
        <v>37</v>
      </c>
      <c r="C9" s="5">
        <v>10.25</v>
      </c>
      <c r="D9" s="1">
        <f t="shared" si="0"/>
        <v>68.333333333333329</v>
      </c>
      <c r="E9" s="5">
        <v>3</v>
      </c>
    </row>
    <row r="10" spans="1:5" x14ac:dyDescent="0.25">
      <c r="A10" s="4">
        <v>4</v>
      </c>
      <c r="B10" s="4" t="s">
        <v>33</v>
      </c>
      <c r="C10" s="5">
        <v>10</v>
      </c>
      <c r="D10" s="1">
        <f t="shared" si="0"/>
        <v>66.666666666666657</v>
      </c>
      <c r="E10" s="5">
        <v>4</v>
      </c>
    </row>
    <row r="11" spans="1:5" x14ac:dyDescent="0.25">
      <c r="A11" s="4">
        <v>5</v>
      </c>
      <c r="B11" s="9" t="s">
        <v>32</v>
      </c>
      <c r="C11" s="5">
        <v>9</v>
      </c>
      <c r="D11" s="1">
        <f t="shared" si="0"/>
        <v>60</v>
      </c>
      <c r="E11" s="5">
        <v>5</v>
      </c>
    </row>
    <row r="12" spans="1:5" x14ac:dyDescent="0.25">
      <c r="A12" s="4">
        <v>6</v>
      </c>
      <c r="B12" s="4" t="s">
        <v>31</v>
      </c>
      <c r="C12" s="5">
        <v>9</v>
      </c>
      <c r="D12" s="1">
        <f t="shared" si="0"/>
        <v>60</v>
      </c>
      <c r="E12" s="5">
        <v>5</v>
      </c>
    </row>
    <row r="13" spans="1:5" x14ac:dyDescent="0.25">
      <c r="A13" s="4">
        <v>7</v>
      </c>
      <c r="B13" s="4" t="s">
        <v>9</v>
      </c>
      <c r="C13" s="5">
        <v>8</v>
      </c>
      <c r="D13" s="1">
        <f t="shared" si="0"/>
        <v>53.333333333333336</v>
      </c>
      <c r="E13" s="5">
        <v>6</v>
      </c>
    </row>
    <row r="14" spans="1:5" x14ac:dyDescent="0.25">
      <c r="A14" s="4">
        <v>8</v>
      </c>
      <c r="B14" s="9" t="s">
        <v>35</v>
      </c>
      <c r="C14" s="5">
        <v>8</v>
      </c>
      <c r="D14" s="1">
        <f t="shared" si="0"/>
        <v>53.333333333333336</v>
      </c>
      <c r="E14" s="5">
        <v>6</v>
      </c>
    </row>
    <row r="15" spans="1:5" x14ac:dyDescent="0.25">
      <c r="A15" s="4">
        <v>9</v>
      </c>
      <c r="B15" s="4" t="s">
        <v>36</v>
      </c>
      <c r="C15" s="5">
        <v>7.25</v>
      </c>
      <c r="D15" s="1">
        <f t="shared" si="0"/>
        <v>48.333333333333336</v>
      </c>
      <c r="E15" s="5">
        <v>7</v>
      </c>
    </row>
    <row r="16" spans="1:5" x14ac:dyDescent="0.25">
      <c r="A16" s="4">
        <v>10</v>
      </c>
      <c r="B16" s="10" t="s">
        <v>34</v>
      </c>
      <c r="C16" s="5">
        <v>7.25</v>
      </c>
      <c r="D16" s="1">
        <f t="shared" si="0"/>
        <v>48.333333333333336</v>
      </c>
      <c r="E16" s="5">
        <v>7</v>
      </c>
    </row>
    <row r="17" spans="1:10" x14ac:dyDescent="0.25">
      <c r="A17" s="4">
        <v>11</v>
      </c>
      <c r="B17" s="4" t="s">
        <v>13</v>
      </c>
      <c r="C17" s="5">
        <v>6.75</v>
      </c>
      <c r="D17" s="1">
        <f t="shared" si="0"/>
        <v>45</v>
      </c>
      <c r="E17" s="5">
        <v>8</v>
      </c>
    </row>
    <row r="18" spans="1:10" x14ac:dyDescent="0.25">
      <c r="A18" s="4">
        <v>12</v>
      </c>
      <c r="B18" s="4" t="s">
        <v>12</v>
      </c>
      <c r="C18" s="5">
        <v>6.5</v>
      </c>
      <c r="D18" s="1">
        <f t="shared" si="0"/>
        <v>43.333333333333336</v>
      </c>
      <c r="E18" s="5">
        <v>9</v>
      </c>
    </row>
    <row r="19" spans="1:10" x14ac:dyDescent="0.25">
      <c r="A19" s="4">
        <v>13</v>
      </c>
      <c r="B19" s="10" t="s">
        <v>38</v>
      </c>
      <c r="C19" s="5">
        <v>6</v>
      </c>
      <c r="D19" s="1">
        <f t="shared" si="0"/>
        <v>40</v>
      </c>
      <c r="E19" s="5">
        <v>10</v>
      </c>
    </row>
    <row r="20" spans="1:10" x14ac:dyDescent="0.25">
      <c r="A20" s="4">
        <v>14</v>
      </c>
      <c r="B20" s="4" t="s">
        <v>14</v>
      </c>
      <c r="C20" s="5">
        <v>5.5</v>
      </c>
      <c r="D20" s="1">
        <f t="shared" si="0"/>
        <v>36.666666666666664</v>
      </c>
      <c r="E20" s="5">
        <v>11</v>
      </c>
    </row>
    <row r="21" spans="1:10" x14ac:dyDescent="0.25">
      <c r="A21" s="4">
        <v>15</v>
      </c>
      <c r="B21" s="10" t="s">
        <v>29</v>
      </c>
      <c r="C21" s="5">
        <v>5.5</v>
      </c>
      <c r="D21" s="1">
        <f t="shared" si="0"/>
        <v>36.666666666666664</v>
      </c>
      <c r="E21" s="5">
        <v>11</v>
      </c>
    </row>
    <row r="22" spans="1:10" x14ac:dyDescent="0.25">
      <c r="A22" s="4">
        <v>16</v>
      </c>
      <c r="B22" s="10" t="s">
        <v>40</v>
      </c>
      <c r="C22" s="5">
        <v>4.25</v>
      </c>
      <c r="D22" s="1">
        <f t="shared" si="0"/>
        <v>28.333333333333332</v>
      </c>
      <c r="E22" s="5">
        <v>12</v>
      </c>
    </row>
    <row r="23" spans="1:10" x14ac:dyDescent="0.25">
      <c r="A23" s="4">
        <v>17</v>
      </c>
      <c r="B23" s="4" t="s">
        <v>15</v>
      </c>
      <c r="C23" s="5">
        <v>4.25</v>
      </c>
      <c r="D23" s="1">
        <f t="shared" si="0"/>
        <v>28.333333333333332</v>
      </c>
      <c r="E23" s="5">
        <v>12</v>
      </c>
    </row>
    <row r="24" spans="1:10" x14ac:dyDescent="0.25">
      <c r="A24" s="4">
        <v>18</v>
      </c>
      <c r="B24" s="9" t="s">
        <v>27</v>
      </c>
      <c r="C24" s="5">
        <v>3.75</v>
      </c>
      <c r="D24" s="1">
        <f t="shared" si="0"/>
        <v>25</v>
      </c>
      <c r="E24" s="5">
        <v>13</v>
      </c>
    </row>
    <row r="25" spans="1:10" x14ac:dyDescent="0.25">
      <c r="A25" s="4">
        <v>19</v>
      </c>
      <c r="B25" s="4" t="s">
        <v>39</v>
      </c>
      <c r="C25" s="5">
        <v>3</v>
      </c>
      <c r="D25" s="1">
        <f t="shared" si="0"/>
        <v>20</v>
      </c>
      <c r="E25" s="5">
        <v>14</v>
      </c>
    </row>
    <row r="26" spans="1:10" x14ac:dyDescent="0.25">
      <c r="A26" s="4">
        <v>20</v>
      </c>
      <c r="B26" s="9" t="s">
        <v>42</v>
      </c>
      <c r="C26" s="5">
        <v>1.75</v>
      </c>
      <c r="D26" s="1">
        <f t="shared" si="0"/>
        <v>11.666666666666666</v>
      </c>
      <c r="E26" s="5">
        <v>15</v>
      </c>
    </row>
    <row r="27" spans="1:10" x14ac:dyDescent="0.25">
      <c r="A27" s="4">
        <v>21</v>
      </c>
      <c r="B27" s="10" t="s">
        <v>41</v>
      </c>
      <c r="C27" s="5"/>
      <c r="D27" s="1">
        <f t="shared" si="0"/>
        <v>0</v>
      </c>
      <c r="E27" s="5"/>
    </row>
    <row r="28" spans="1:10" x14ac:dyDescent="0.25">
      <c r="A28" s="4">
        <v>22</v>
      </c>
      <c r="B28" s="4" t="s">
        <v>11</v>
      </c>
      <c r="C28" s="5"/>
      <c r="D28" s="1">
        <f t="shared" si="0"/>
        <v>0</v>
      </c>
      <c r="E28" s="5"/>
    </row>
    <row r="29" spans="1:10" x14ac:dyDescent="0.25">
      <c r="A29" s="4">
        <v>23</v>
      </c>
      <c r="B29" s="10" t="s">
        <v>28</v>
      </c>
      <c r="C29" s="5"/>
      <c r="D29" s="1">
        <f t="shared" si="0"/>
        <v>0</v>
      </c>
      <c r="E29" s="5"/>
      <c r="J29" t="s">
        <v>43</v>
      </c>
    </row>
    <row r="30" spans="1:10" x14ac:dyDescent="0.25">
      <c r="A30" s="4">
        <v>24</v>
      </c>
      <c r="B30" s="4" t="s">
        <v>16</v>
      </c>
      <c r="C30" s="5"/>
      <c r="D30" s="1">
        <f t="shared" si="0"/>
        <v>0</v>
      </c>
      <c r="E30" s="5"/>
    </row>
    <row r="31" spans="1:10" x14ac:dyDescent="0.25">
      <c r="A31" s="4">
        <v>25</v>
      </c>
      <c r="B31" s="4" t="s">
        <v>7</v>
      </c>
      <c r="C31" s="5"/>
      <c r="D31" s="1">
        <f t="shared" si="0"/>
        <v>0</v>
      </c>
      <c r="E31" s="5"/>
    </row>
    <row r="32" spans="1:10" x14ac:dyDescent="0.25">
      <c r="A32" s="4">
        <v>26</v>
      </c>
      <c r="B32" s="4" t="s">
        <v>10</v>
      </c>
      <c r="C32" s="5"/>
      <c r="D32" s="1">
        <f t="shared" si="0"/>
        <v>0</v>
      </c>
      <c r="E32" s="5"/>
    </row>
    <row r="34" spans="1:3" ht="15.75" x14ac:dyDescent="0.25">
      <c r="B34" s="7" t="s">
        <v>17</v>
      </c>
      <c r="C34" s="7" t="s">
        <v>18</v>
      </c>
    </row>
    <row r="35" spans="1:3" ht="15.75" x14ac:dyDescent="0.25">
      <c r="B35" s="7" t="s">
        <v>19</v>
      </c>
      <c r="C35" s="7" t="s">
        <v>20</v>
      </c>
    </row>
    <row r="36" spans="1:3" ht="15.75" x14ac:dyDescent="0.25">
      <c r="B36" s="7" t="s">
        <v>21</v>
      </c>
      <c r="C36" s="7" t="s">
        <v>22</v>
      </c>
    </row>
    <row r="38" spans="1:3" x14ac:dyDescent="0.25">
      <c r="A38" s="8" t="s">
        <v>23</v>
      </c>
    </row>
  </sheetData>
  <sortState ref="B7:D32">
    <sortCondition descending="1" ref="D7:D32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selection activeCell="K30" sqref="K30"/>
    </sheetView>
  </sheetViews>
  <sheetFormatPr defaultRowHeight="15" x14ac:dyDescent="0.25"/>
  <cols>
    <col min="2" max="2" width="23.42578125" bestFit="1" customWidth="1"/>
    <col min="3" max="3" width="17.7109375" style="6" bestFit="1" customWidth="1"/>
    <col min="4" max="4" width="4.28515625" customWidth="1"/>
    <col min="5" max="5" width="9.140625" style="6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48</v>
      </c>
      <c r="B2" s="12"/>
      <c r="C2" s="12"/>
      <c r="D2" s="12"/>
      <c r="E2" s="12"/>
    </row>
    <row r="3" spans="1:5" ht="23.25" x14ac:dyDescent="0.35">
      <c r="A3" s="12" t="s">
        <v>24</v>
      </c>
      <c r="B3" s="12"/>
      <c r="C3" s="12"/>
      <c r="D3" s="12"/>
      <c r="E3" s="12"/>
    </row>
    <row r="4" spans="1:5" ht="23.25" x14ac:dyDescent="0.35">
      <c r="A4" s="12" t="s">
        <v>2</v>
      </c>
      <c r="B4" s="12"/>
      <c r="C4" s="12"/>
      <c r="D4" s="12"/>
      <c r="E4" s="12"/>
    </row>
    <row r="5" spans="1:5" ht="23.25" x14ac:dyDescent="0.35">
      <c r="A5" s="13" t="s">
        <v>49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26</v>
      </c>
      <c r="D6" s="3" t="s">
        <v>5</v>
      </c>
      <c r="E6" s="3" t="s">
        <v>6</v>
      </c>
    </row>
    <row r="7" spans="1:5" x14ac:dyDescent="0.25">
      <c r="A7" s="4">
        <v>1</v>
      </c>
      <c r="B7" s="4" t="s">
        <v>8</v>
      </c>
      <c r="C7" s="5">
        <v>15</v>
      </c>
      <c r="D7" s="1">
        <f t="shared" ref="D7:D32" si="0">C7/20*100</f>
        <v>75</v>
      </c>
      <c r="E7" s="5">
        <v>1</v>
      </c>
    </row>
    <row r="8" spans="1:5" x14ac:dyDescent="0.25">
      <c r="A8" s="4">
        <v>2</v>
      </c>
      <c r="B8" s="4" t="s">
        <v>9</v>
      </c>
      <c r="C8" s="5">
        <v>12.75</v>
      </c>
      <c r="D8" s="1">
        <f t="shared" si="0"/>
        <v>63.749999999999993</v>
      </c>
      <c r="E8" s="5">
        <v>2</v>
      </c>
    </row>
    <row r="9" spans="1:5" x14ac:dyDescent="0.25">
      <c r="A9" s="4">
        <v>3</v>
      </c>
      <c r="B9" s="4" t="s">
        <v>14</v>
      </c>
      <c r="C9" s="5">
        <v>12.5</v>
      </c>
      <c r="D9" s="1">
        <f t="shared" si="0"/>
        <v>62.5</v>
      </c>
      <c r="E9" s="5">
        <v>3</v>
      </c>
    </row>
    <row r="10" spans="1:5" x14ac:dyDescent="0.25">
      <c r="A10" s="4">
        <v>4</v>
      </c>
      <c r="B10" s="4" t="s">
        <v>13</v>
      </c>
      <c r="C10" s="5">
        <v>11</v>
      </c>
      <c r="D10" s="1">
        <f t="shared" si="0"/>
        <v>55.000000000000007</v>
      </c>
      <c r="E10" s="5">
        <v>4</v>
      </c>
    </row>
    <row r="11" spans="1:5" x14ac:dyDescent="0.25">
      <c r="A11" s="4">
        <v>5</v>
      </c>
      <c r="B11" s="4" t="s">
        <v>16</v>
      </c>
      <c r="C11" s="5">
        <v>9.75</v>
      </c>
      <c r="D11" s="1">
        <f t="shared" si="0"/>
        <v>48.75</v>
      </c>
      <c r="E11" s="5">
        <v>5</v>
      </c>
    </row>
    <row r="12" spans="1:5" x14ac:dyDescent="0.25">
      <c r="A12" s="4">
        <v>6</v>
      </c>
      <c r="B12" s="4" t="s">
        <v>31</v>
      </c>
      <c r="C12" s="5">
        <v>9.75</v>
      </c>
      <c r="D12" s="1">
        <f t="shared" si="0"/>
        <v>48.75</v>
      </c>
      <c r="E12" s="5">
        <v>5</v>
      </c>
    </row>
    <row r="13" spans="1:5" x14ac:dyDescent="0.25">
      <c r="A13" s="4">
        <v>7</v>
      </c>
      <c r="B13" s="9" t="s">
        <v>37</v>
      </c>
      <c r="C13" s="5">
        <v>8.75</v>
      </c>
      <c r="D13" s="1">
        <f t="shared" si="0"/>
        <v>43.75</v>
      </c>
      <c r="E13" s="5">
        <v>6</v>
      </c>
    </row>
    <row r="14" spans="1:5" x14ac:dyDescent="0.25">
      <c r="A14" s="4">
        <v>8</v>
      </c>
      <c r="B14" s="4" t="s">
        <v>15</v>
      </c>
      <c r="C14" s="5">
        <v>8.75</v>
      </c>
      <c r="D14" s="1">
        <f t="shared" si="0"/>
        <v>43.75</v>
      </c>
      <c r="E14" s="5">
        <v>6</v>
      </c>
    </row>
    <row r="15" spans="1:5" x14ac:dyDescent="0.25">
      <c r="A15" s="4">
        <v>9</v>
      </c>
      <c r="B15" s="10" t="s">
        <v>38</v>
      </c>
      <c r="C15" s="5">
        <v>8.5</v>
      </c>
      <c r="D15" s="1">
        <f t="shared" si="0"/>
        <v>42.5</v>
      </c>
      <c r="E15" s="5">
        <v>7</v>
      </c>
    </row>
    <row r="16" spans="1:5" x14ac:dyDescent="0.25">
      <c r="A16" s="4">
        <v>10</v>
      </c>
      <c r="B16" s="4" t="s">
        <v>33</v>
      </c>
      <c r="C16" s="5">
        <v>8.5</v>
      </c>
      <c r="D16" s="1">
        <f t="shared" si="0"/>
        <v>42.5</v>
      </c>
      <c r="E16" s="5">
        <v>7</v>
      </c>
    </row>
    <row r="17" spans="1:10" x14ac:dyDescent="0.25">
      <c r="A17" s="4">
        <v>11</v>
      </c>
      <c r="B17" s="10" t="s">
        <v>40</v>
      </c>
      <c r="C17" s="5">
        <v>8.5</v>
      </c>
      <c r="D17" s="1">
        <f t="shared" si="0"/>
        <v>42.5</v>
      </c>
      <c r="E17" s="5">
        <v>7</v>
      </c>
    </row>
    <row r="18" spans="1:10" x14ac:dyDescent="0.25">
      <c r="A18" s="4">
        <v>12</v>
      </c>
      <c r="B18" s="10" t="s">
        <v>30</v>
      </c>
      <c r="C18" s="5">
        <v>8</v>
      </c>
      <c r="D18" s="1">
        <f t="shared" si="0"/>
        <v>40</v>
      </c>
      <c r="E18" s="5">
        <v>8</v>
      </c>
    </row>
    <row r="19" spans="1:10" x14ac:dyDescent="0.25">
      <c r="A19" s="4">
        <v>13</v>
      </c>
      <c r="B19" s="9" t="s">
        <v>32</v>
      </c>
      <c r="C19" s="5">
        <v>7.75</v>
      </c>
      <c r="D19" s="1">
        <f t="shared" si="0"/>
        <v>38.75</v>
      </c>
      <c r="E19" s="5">
        <v>9</v>
      </c>
    </row>
    <row r="20" spans="1:10" x14ac:dyDescent="0.25">
      <c r="A20" s="4">
        <v>14</v>
      </c>
      <c r="B20" s="4" t="s">
        <v>12</v>
      </c>
      <c r="C20" s="5">
        <v>7.75</v>
      </c>
      <c r="D20" s="1">
        <f t="shared" si="0"/>
        <v>38.75</v>
      </c>
      <c r="E20" s="5">
        <v>9</v>
      </c>
    </row>
    <row r="21" spans="1:10" x14ac:dyDescent="0.25">
      <c r="A21" s="4">
        <v>15</v>
      </c>
      <c r="B21" s="4" t="s">
        <v>36</v>
      </c>
      <c r="C21" s="5">
        <v>6.25</v>
      </c>
      <c r="D21" s="1">
        <f t="shared" si="0"/>
        <v>31.25</v>
      </c>
      <c r="E21" s="5">
        <v>10</v>
      </c>
    </row>
    <row r="22" spans="1:10" x14ac:dyDescent="0.25">
      <c r="A22" s="4">
        <v>16</v>
      </c>
      <c r="B22" s="10" t="s">
        <v>34</v>
      </c>
      <c r="C22" s="5">
        <v>6.25</v>
      </c>
      <c r="D22" s="1">
        <f t="shared" si="0"/>
        <v>31.25</v>
      </c>
      <c r="E22" s="5">
        <v>10</v>
      </c>
    </row>
    <row r="23" spans="1:10" x14ac:dyDescent="0.25">
      <c r="A23" s="4">
        <v>17</v>
      </c>
      <c r="B23" s="10" t="s">
        <v>29</v>
      </c>
      <c r="C23" s="5">
        <v>5.5</v>
      </c>
      <c r="D23" s="1">
        <f t="shared" si="0"/>
        <v>27.500000000000004</v>
      </c>
      <c r="E23" s="5">
        <v>11</v>
      </c>
    </row>
    <row r="24" spans="1:10" x14ac:dyDescent="0.25">
      <c r="A24" s="4">
        <v>18</v>
      </c>
      <c r="B24" s="9" t="s">
        <v>42</v>
      </c>
      <c r="C24" s="5">
        <v>5.25</v>
      </c>
      <c r="D24" s="1">
        <f t="shared" si="0"/>
        <v>26.25</v>
      </c>
      <c r="E24" s="5">
        <v>12</v>
      </c>
    </row>
    <row r="25" spans="1:10" x14ac:dyDescent="0.25">
      <c r="A25" s="4">
        <v>19</v>
      </c>
      <c r="B25" s="9" t="s">
        <v>35</v>
      </c>
      <c r="C25" s="5">
        <v>4.75</v>
      </c>
      <c r="D25" s="1">
        <f t="shared" si="0"/>
        <v>23.75</v>
      </c>
      <c r="E25" s="5">
        <v>13</v>
      </c>
    </row>
    <row r="26" spans="1:10" x14ac:dyDescent="0.25">
      <c r="A26" s="4">
        <v>20</v>
      </c>
      <c r="B26" s="4" t="s">
        <v>39</v>
      </c>
      <c r="C26" s="5">
        <v>2</v>
      </c>
      <c r="D26" s="1">
        <f t="shared" si="0"/>
        <v>10</v>
      </c>
      <c r="E26" s="5">
        <v>14</v>
      </c>
    </row>
    <row r="27" spans="1:10" x14ac:dyDescent="0.25">
      <c r="A27" s="4">
        <v>21</v>
      </c>
      <c r="B27" s="9" t="s">
        <v>27</v>
      </c>
      <c r="C27" s="5">
        <v>1.5</v>
      </c>
      <c r="D27" s="1">
        <f t="shared" si="0"/>
        <v>7.5</v>
      </c>
      <c r="E27" s="5">
        <v>15</v>
      </c>
    </row>
    <row r="28" spans="1:10" x14ac:dyDescent="0.25">
      <c r="A28" s="4">
        <v>22</v>
      </c>
      <c r="B28" s="10" t="s">
        <v>41</v>
      </c>
      <c r="C28" s="5"/>
      <c r="D28" s="1">
        <f t="shared" si="0"/>
        <v>0</v>
      </c>
      <c r="E28" s="5"/>
    </row>
    <row r="29" spans="1:10" x14ac:dyDescent="0.25">
      <c r="A29" s="4">
        <v>23</v>
      </c>
      <c r="B29" s="4" t="s">
        <v>11</v>
      </c>
      <c r="C29" s="5"/>
      <c r="D29" s="1">
        <f t="shared" si="0"/>
        <v>0</v>
      </c>
      <c r="E29" s="5"/>
      <c r="J29" t="s">
        <v>43</v>
      </c>
    </row>
    <row r="30" spans="1:10" x14ac:dyDescent="0.25">
      <c r="A30" s="4">
        <v>24</v>
      </c>
      <c r="B30" s="10" t="s">
        <v>28</v>
      </c>
      <c r="C30" s="5"/>
      <c r="D30" s="1">
        <f t="shared" si="0"/>
        <v>0</v>
      </c>
      <c r="E30" s="5"/>
    </row>
    <row r="31" spans="1:10" x14ac:dyDescent="0.25">
      <c r="A31" s="4">
        <v>25</v>
      </c>
      <c r="B31" s="4" t="s">
        <v>7</v>
      </c>
      <c r="C31" s="5"/>
      <c r="D31" s="1">
        <f t="shared" si="0"/>
        <v>0</v>
      </c>
      <c r="E31" s="5"/>
    </row>
    <row r="32" spans="1:10" x14ac:dyDescent="0.25">
      <c r="A32" s="4">
        <v>26</v>
      </c>
      <c r="B32" s="4" t="s">
        <v>10</v>
      </c>
      <c r="C32" s="5"/>
      <c r="D32" s="1">
        <f t="shared" si="0"/>
        <v>0</v>
      </c>
      <c r="E32" s="5"/>
    </row>
    <row r="34" spans="1:3" ht="15.75" x14ac:dyDescent="0.25">
      <c r="B34" s="7" t="s">
        <v>17</v>
      </c>
      <c r="C34" s="7" t="s">
        <v>18</v>
      </c>
    </row>
    <row r="35" spans="1:3" ht="15.75" x14ac:dyDescent="0.25">
      <c r="B35" s="7" t="s">
        <v>19</v>
      </c>
      <c r="C35" s="7" t="s">
        <v>20</v>
      </c>
    </row>
    <row r="36" spans="1:3" ht="15.75" x14ac:dyDescent="0.25">
      <c r="B36" s="7" t="s">
        <v>21</v>
      </c>
      <c r="C36" s="7" t="s">
        <v>22</v>
      </c>
    </row>
    <row r="38" spans="1:3" x14ac:dyDescent="0.25">
      <c r="A38" s="8" t="s">
        <v>23</v>
      </c>
    </row>
  </sheetData>
  <sortState ref="B7:D32">
    <sortCondition descending="1" ref="D7:D32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selection activeCell="H26" sqref="H26"/>
    </sheetView>
  </sheetViews>
  <sheetFormatPr defaultRowHeight="15" x14ac:dyDescent="0.25"/>
  <cols>
    <col min="2" max="2" width="23.42578125" bestFit="1" customWidth="1"/>
    <col min="3" max="3" width="17.7109375" style="6" bestFit="1" customWidth="1"/>
    <col min="4" max="4" width="4.28515625" customWidth="1"/>
    <col min="5" max="5" width="9.140625" style="6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48</v>
      </c>
      <c r="B2" s="12"/>
      <c r="C2" s="12"/>
      <c r="D2" s="12"/>
      <c r="E2" s="12"/>
    </row>
    <row r="3" spans="1:5" ht="23.25" x14ac:dyDescent="0.35">
      <c r="A3" s="12" t="s">
        <v>24</v>
      </c>
      <c r="B3" s="12"/>
      <c r="C3" s="12"/>
      <c r="D3" s="12"/>
      <c r="E3" s="12"/>
    </row>
    <row r="4" spans="1:5" ht="23.25" x14ac:dyDescent="0.35">
      <c r="A4" s="12" t="s">
        <v>2</v>
      </c>
      <c r="B4" s="12"/>
      <c r="C4" s="12"/>
      <c r="D4" s="12"/>
      <c r="E4" s="12"/>
    </row>
    <row r="5" spans="1:5" ht="23.25" x14ac:dyDescent="0.35">
      <c r="A5" s="13" t="s">
        <v>52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50</v>
      </c>
      <c r="D6" s="3" t="s">
        <v>5</v>
      </c>
      <c r="E6" s="3" t="s">
        <v>6</v>
      </c>
    </row>
    <row r="7" spans="1:5" x14ac:dyDescent="0.25">
      <c r="A7" s="4">
        <v>1</v>
      </c>
      <c r="B7" s="10" t="s">
        <v>28</v>
      </c>
      <c r="C7" s="5">
        <v>15.25</v>
      </c>
      <c r="D7" s="1">
        <f t="shared" ref="D7:D33" si="0">C7/30*100</f>
        <v>50.833333333333329</v>
      </c>
      <c r="E7" s="5">
        <v>1</v>
      </c>
    </row>
    <row r="8" spans="1:5" x14ac:dyDescent="0.25">
      <c r="A8" s="4">
        <v>2</v>
      </c>
      <c r="B8" s="4" t="s">
        <v>33</v>
      </c>
      <c r="C8" s="5">
        <v>11.5</v>
      </c>
      <c r="D8" s="1">
        <f t="shared" si="0"/>
        <v>38.333333333333336</v>
      </c>
      <c r="E8" s="5">
        <v>2</v>
      </c>
    </row>
    <row r="9" spans="1:5" x14ac:dyDescent="0.25">
      <c r="A9" s="4">
        <v>3</v>
      </c>
      <c r="B9" s="4" t="s">
        <v>12</v>
      </c>
      <c r="C9" s="5">
        <v>11.25</v>
      </c>
      <c r="D9" s="1">
        <f t="shared" si="0"/>
        <v>37.5</v>
      </c>
      <c r="E9" s="5">
        <v>2</v>
      </c>
    </row>
    <row r="10" spans="1:5" x14ac:dyDescent="0.25">
      <c r="A10" s="4">
        <v>4</v>
      </c>
      <c r="B10" s="9" t="s">
        <v>35</v>
      </c>
      <c r="C10" s="5">
        <v>10.5</v>
      </c>
      <c r="D10" s="1">
        <f t="shared" si="0"/>
        <v>35</v>
      </c>
      <c r="E10" s="5">
        <v>3</v>
      </c>
    </row>
    <row r="11" spans="1:5" x14ac:dyDescent="0.25">
      <c r="A11" s="4">
        <v>5</v>
      </c>
      <c r="B11" s="4" t="s">
        <v>16</v>
      </c>
      <c r="C11" s="5">
        <v>6.75</v>
      </c>
      <c r="D11" s="1">
        <f t="shared" si="0"/>
        <v>22.5</v>
      </c>
      <c r="E11" s="5">
        <v>4</v>
      </c>
    </row>
    <row r="12" spans="1:5" x14ac:dyDescent="0.25">
      <c r="A12" s="4">
        <v>6</v>
      </c>
      <c r="B12" s="9" t="s">
        <v>32</v>
      </c>
      <c r="C12" s="5">
        <v>6.75</v>
      </c>
      <c r="D12" s="1">
        <f t="shared" si="0"/>
        <v>22.5</v>
      </c>
      <c r="E12" s="5">
        <v>4</v>
      </c>
    </row>
    <row r="13" spans="1:5" x14ac:dyDescent="0.25">
      <c r="A13" s="4">
        <v>7</v>
      </c>
      <c r="B13" s="10" t="s">
        <v>34</v>
      </c>
      <c r="C13" s="5">
        <v>6.5</v>
      </c>
      <c r="D13" s="1">
        <f t="shared" si="0"/>
        <v>21.666666666666668</v>
      </c>
      <c r="E13" s="5">
        <v>5</v>
      </c>
    </row>
    <row r="14" spans="1:5" x14ac:dyDescent="0.25">
      <c r="A14" s="4">
        <v>8</v>
      </c>
      <c r="B14" s="10" t="s">
        <v>38</v>
      </c>
      <c r="C14" s="5">
        <v>6.25</v>
      </c>
      <c r="D14" s="1">
        <f t="shared" si="0"/>
        <v>20.833333333333336</v>
      </c>
      <c r="E14" s="5">
        <v>6</v>
      </c>
    </row>
    <row r="15" spans="1:5" x14ac:dyDescent="0.25">
      <c r="A15" s="4">
        <v>9</v>
      </c>
      <c r="B15" s="4" t="s">
        <v>15</v>
      </c>
      <c r="C15" s="5">
        <v>6</v>
      </c>
      <c r="D15" s="1">
        <f t="shared" si="0"/>
        <v>20</v>
      </c>
      <c r="E15" s="5">
        <v>7</v>
      </c>
    </row>
    <row r="16" spans="1:5" x14ac:dyDescent="0.25">
      <c r="A16" s="4">
        <v>10</v>
      </c>
      <c r="B16" s="10" t="s">
        <v>29</v>
      </c>
      <c r="C16" s="5">
        <v>6</v>
      </c>
      <c r="D16" s="1">
        <f t="shared" si="0"/>
        <v>20</v>
      </c>
      <c r="E16" s="5">
        <v>7</v>
      </c>
    </row>
    <row r="17" spans="1:10" x14ac:dyDescent="0.25">
      <c r="A17" s="4">
        <v>11</v>
      </c>
      <c r="B17" s="9" t="s">
        <v>27</v>
      </c>
      <c r="C17" s="5">
        <v>5.75</v>
      </c>
      <c r="D17" s="1">
        <f t="shared" si="0"/>
        <v>19.166666666666668</v>
      </c>
      <c r="E17" s="5">
        <v>8</v>
      </c>
      <c r="J17">
        <v>5.75</v>
      </c>
    </row>
    <row r="18" spans="1:10" x14ac:dyDescent="0.25">
      <c r="A18" s="4">
        <v>12</v>
      </c>
      <c r="B18" s="4" t="s">
        <v>51</v>
      </c>
      <c r="C18" s="5">
        <v>5.75</v>
      </c>
      <c r="D18" s="1">
        <f t="shared" si="0"/>
        <v>19.166666666666668</v>
      </c>
      <c r="E18" s="5">
        <v>8</v>
      </c>
    </row>
    <row r="19" spans="1:10" x14ac:dyDescent="0.25">
      <c r="A19" s="4">
        <v>13</v>
      </c>
      <c r="B19" s="4" t="s">
        <v>36</v>
      </c>
      <c r="C19" s="5">
        <v>5.25</v>
      </c>
      <c r="D19" s="1">
        <f t="shared" si="0"/>
        <v>17.5</v>
      </c>
      <c r="E19" s="5">
        <v>9</v>
      </c>
    </row>
    <row r="20" spans="1:10" x14ac:dyDescent="0.25">
      <c r="A20" s="4">
        <v>14</v>
      </c>
      <c r="B20" s="10" t="s">
        <v>41</v>
      </c>
      <c r="C20" s="5">
        <v>5</v>
      </c>
      <c r="D20" s="1">
        <f t="shared" si="0"/>
        <v>16.666666666666664</v>
      </c>
      <c r="E20" s="5">
        <v>10</v>
      </c>
    </row>
    <row r="21" spans="1:10" x14ac:dyDescent="0.25">
      <c r="A21" s="4">
        <v>15</v>
      </c>
      <c r="B21" s="10" t="s">
        <v>30</v>
      </c>
      <c r="C21" s="5">
        <v>3</v>
      </c>
      <c r="D21" s="1">
        <f t="shared" si="0"/>
        <v>10</v>
      </c>
      <c r="E21" s="5">
        <v>11</v>
      </c>
    </row>
    <row r="22" spans="1:10" x14ac:dyDescent="0.25">
      <c r="A22" s="4">
        <v>16</v>
      </c>
      <c r="B22" s="4" t="s">
        <v>8</v>
      </c>
      <c r="C22" s="5"/>
      <c r="D22" s="1">
        <f t="shared" si="0"/>
        <v>0</v>
      </c>
      <c r="E22" s="5"/>
    </row>
    <row r="23" spans="1:10" x14ac:dyDescent="0.25">
      <c r="A23" s="4">
        <v>17</v>
      </c>
      <c r="B23" s="4" t="s">
        <v>9</v>
      </c>
      <c r="C23" s="5"/>
      <c r="D23" s="1">
        <f t="shared" si="0"/>
        <v>0</v>
      </c>
      <c r="E23" s="5"/>
    </row>
    <row r="24" spans="1:10" x14ac:dyDescent="0.25">
      <c r="A24" s="4">
        <v>18</v>
      </c>
      <c r="B24" s="4" t="s">
        <v>14</v>
      </c>
      <c r="C24" s="5"/>
      <c r="D24" s="1">
        <f t="shared" si="0"/>
        <v>0</v>
      </c>
      <c r="E24" s="5"/>
    </row>
    <row r="25" spans="1:10" x14ac:dyDescent="0.25">
      <c r="A25" s="4">
        <v>19</v>
      </c>
      <c r="B25" s="4" t="s">
        <v>13</v>
      </c>
      <c r="C25" s="5"/>
      <c r="D25" s="1">
        <f t="shared" si="0"/>
        <v>0</v>
      </c>
      <c r="E25" s="5"/>
    </row>
    <row r="26" spans="1:10" x14ac:dyDescent="0.25">
      <c r="A26" s="4">
        <v>20</v>
      </c>
      <c r="B26" s="4" t="s">
        <v>31</v>
      </c>
      <c r="C26" s="5"/>
      <c r="D26" s="1">
        <f t="shared" si="0"/>
        <v>0</v>
      </c>
      <c r="E26" s="5"/>
    </row>
    <row r="27" spans="1:10" x14ac:dyDescent="0.25">
      <c r="A27" s="4">
        <v>21</v>
      </c>
      <c r="B27" s="9" t="s">
        <v>37</v>
      </c>
      <c r="C27" s="5"/>
      <c r="D27" s="1">
        <f t="shared" si="0"/>
        <v>0</v>
      </c>
      <c r="E27" s="5"/>
    </row>
    <row r="28" spans="1:10" x14ac:dyDescent="0.25">
      <c r="A28" s="4">
        <v>22</v>
      </c>
      <c r="B28" s="10" t="s">
        <v>40</v>
      </c>
      <c r="C28" s="5"/>
      <c r="D28" s="1">
        <f t="shared" si="0"/>
        <v>0</v>
      </c>
      <c r="E28" s="5"/>
    </row>
    <row r="29" spans="1:10" x14ac:dyDescent="0.25">
      <c r="A29" s="4">
        <v>23</v>
      </c>
      <c r="B29" s="9" t="s">
        <v>42</v>
      </c>
      <c r="C29" s="5"/>
      <c r="D29" s="1">
        <f t="shared" si="0"/>
        <v>0</v>
      </c>
      <c r="E29" s="5"/>
      <c r="J29" t="s">
        <v>43</v>
      </c>
    </row>
    <row r="30" spans="1:10" x14ac:dyDescent="0.25">
      <c r="A30" s="4">
        <v>24</v>
      </c>
      <c r="B30" s="4" t="s">
        <v>39</v>
      </c>
      <c r="C30" s="5"/>
      <c r="D30" s="1">
        <f t="shared" si="0"/>
        <v>0</v>
      </c>
      <c r="E30" s="5"/>
    </row>
    <row r="31" spans="1:10" x14ac:dyDescent="0.25">
      <c r="A31" s="4">
        <v>25</v>
      </c>
      <c r="B31" s="4" t="s">
        <v>11</v>
      </c>
      <c r="C31" s="5"/>
      <c r="D31" s="1">
        <f t="shared" si="0"/>
        <v>0</v>
      </c>
      <c r="E31" s="5"/>
    </row>
    <row r="32" spans="1:10" x14ac:dyDescent="0.25">
      <c r="A32" s="4">
        <v>26</v>
      </c>
      <c r="B32" s="4" t="s">
        <v>7</v>
      </c>
      <c r="C32" s="5"/>
      <c r="D32" s="1">
        <f t="shared" si="0"/>
        <v>0</v>
      </c>
      <c r="E32" s="5"/>
    </row>
    <row r="33" spans="1:5" x14ac:dyDescent="0.25">
      <c r="A33" s="4">
        <v>27</v>
      </c>
      <c r="B33" s="4" t="s">
        <v>10</v>
      </c>
      <c r="C33" s="5"/>
      <c r="D33" s="1">
        <f t="shared" si="0"/>
        <v>0</v>
      </c>
      <c r="E33" s="5"/>
    </row>
    <row r="34" spans="1:5" ht="15.75" x14ac:dyDescent="0.25">
      <c r="B34" s="7" t="s">
        <v>17</v>
      </c>
      <c r="C34" s="7" t="s">
        <v>18</v>
      </c>
    </row>
    <row r="35" spans="1:5" ht="15.75" x14ac:dyDescent="0.25">
      <c r="B35" s="7" t="s">
        <v>19</v>
      </c>
      <c r="C35" s="7" t="s">
        <v>20</v>
      </c>
    </row>
    <row r="36" spans="1:5" ht="15.75" x14ac:dyDescent="0.25">
      <c r="B36" s="7" t="s">
        <v>21</v>
      </c>
      <c r="C36" s="7" t="s">
        <v>22</v>
      </c>
    </row>
    <row r="38" spans="1:5" x14ac:dyDescent="0.25">
      <c r="A38" s="8" t="s">
        <v>23</v>
      </c>
    </row>
  </sheetData>
  <sortState ref="B7:D33">
    <sortCondition descending="1" ref="D7:D33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selection activeCell="J19" sqref="J19"/>
    </sheetView>
  </sheetViews>
  <sheetFormatPr defaultRowHeight="15" x14ac:dyDescent="0.25"/>
  <cols>
    <col min="2" max="2" width="23.42578125" bestFit="1" customWidth="1"/>
    <col min="3" max="3" width="17.7109375" style="6" bestFit="1" customWidth="1"/>
    <col min="4" max="4" width="4.28515625" customWidth="1"/>
    <col min="5" max="5" width="9.140625" style="6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48</v>
      </c>
      <c r="B2" s="12"/>
      <c r="C2" s="12"/>
      <c r="D2" s="12"/>
      <c r="E2" s="12"/>
    </row>
    <row r="3" spans="1:5" ht="23.25" x14ac:dyDescent="0.35">
      <c r="A3" s="12" t="s">
        <v>24</v>
      </c>
      <c r="B3" s="12"/>
      <c r="C3" s="12"/>
      <c r="D3" s="12"/>
      <c r="E3" s="12"/>
    </row>
    <row r="4" spans="1:5" ht="23.25" x14ac:dyDescent="0.35">
      <c r="A4" s="12" t="s">
        <v>2</v>
      </c>
      <c r="B4" s="12"/>
      <c r="C4" s="12"/>
      <c r="D4" s="12"/>
      <c r="E4" s="12"/>
    </row>
    <row r="5" spans="1:5" ht="23.25" x14ac:dyDescent="0.35">
      <c r="A5" s="13" t="s">
        <v>53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54</v>
      </c>
      <c r="D6" s="3" t="s">
        <v>5</v>
      </c>
      <c r="E6" s="3" t="s">
        <v>6</v>
      </c>
    </row>
    <row r="7" spans="1:5" x14ac:dyDescent="0.25">
      <c r="A7" s="4">
        <v>1</v>
      </c>
      <c r="B7" s="10" t="s">
        <v>30</v>
      </c>
      <c r="C7" s="5">
        <v>34</v>
      </c>
      <c r="D7" s="1">
        <f t="shared" ref="D7:D33" si="0">C7/50*100</f>
        <v>68</v>
      </c>
      <c r="E7" s="5">
        <v>1</v>
      </c>
    </row>
    <row r="8" spans="1:5" x14ac:dyDescent="0.25">
      <c r="A8" s="4">
        <v>2</v>
      </c>
      <c r="B8" s="10" t="s">
        <v>41</v>
      </c>
      <c r="C8" s="5">
        <v>33</v>
      </c>
      <c r="D8" s="1">
        <f t="shared" si="0"/>
        <v>66</v>
      </c>
      <c r="E8" s="5">
        <v>2</v>
      </c>
    </row>
    <row r="9" spans="1:5" x14ac:dyDescent="0.25">
      <c r="A9" s="4">
        <v>3</v>
      </c>
      <c r="B9" s="4" t="s">
        <v>12</v>
      </c>
      <c r="C9" s="5">
        <v>31.5</v>
      </c>
      <c r="D9" s="1">
        <f t="shared" si="0"/>
        <v>63</v>
      </c>
      <c r="E9" s="5">
        <v>3</v>
      </c>
    </row>
    <row r="10" spans="1:5" x14ac:dyDescent="0.25">
      <c r="A10" s="4">
        <v>4</v>
      </c>
      <c r="B10" s="4" t="s">
        <v>15</v>
      </c>
      <c r="C10" s="5">
        <v>28.5</v>
      </c>
      <c r="D10" s="1">
        <f t="shared" si="0"/>
        <v>56.999999999999993</v>
      </c>
      <c r="E10" s="5">
        <v>4</v>
      </c>
    </row>
    <row r="11" spans="1:5" x14ac:dyDescent="0.25">
      <c r="A11" s="4">
        <v>5</v>
      </c>
      <c r="B11" s="10" t="s">
        <v>28</v>
      </c>
      <c r="C11" s="5">
        <v>28.25</v>
      </c>
      <c r="D11" s="1">
        <f t="shared" si="0"/>
        <v>56.499999999999993</v>
      </c>
      <c r="E11" s="5">
        <v>4</v>
      </c>
    </row>
    <row r="12" spans="1:5" x14ac:dyDescent="0.25">
      <c r="A12" s="4">
        <v>6</v>
      </c>
      <c r="B12" s="4" t="s">
        <v>33</v>
      </c>
      <c r="C12" s="5">
        <v>28</v>
      </c>
      <c r="D12" s="1">
        <f t="shared" si="0"/>
        <v>56.000000000000007</v>
      </c>
      <c r="E12" s="5">
        <v>4</v>
      </c>
    </row>
    <row r="13" spans="1:5" x14ac:dyDescent="0.25">
      <c r="A13" s="4">
        <v>7</v>
      </c>
      <c r="B13" s="9" t="s">
        <v>27</v>
      </c>
      <c r="C13" s="5">
        <v>28</v>
      </c>
      <c r="D13" s="1">
        <f t="shared" si="0"/>
        <v>56.000000000000007</v>
      </c>
      <c r="E13" s="5">
        <v>4</v>
      </c>
    </row>
    <row r="14" spans="1:5" x14ac:dyDescent="0.25">
      <c r="A14" s="4">
        <v>8</v>
      </c>
      <c r="B14" s="10" t="s">
        <v>29</v>
      </c>
      <c r="C14" s="5">
        <v>26</v>
      </c>
      <c r="D14" s="1">
        <f t="shared" si="0"/>
        <v>52</v>
      </c>
      <c r="E14" s="5">
        <v>5</v>
      </c>
    </row>
    <row r="15" spans="1:5" x14ac:dyDescent="0.25">
      <c r="A15" s="4">
        <v>9</v>
      </c>
      <c r="B15" s="9" t="s">
        <v>35</v>
      </c>
      <c r="C15" s="5">
        <v>25.75</v>
      </c>
      <c r="D15" s="1">
        <f t="shared" si="0"/>
        <v>51.5</v>
      </c>
      <c r="E15" s="5">
        <v>5</v>
      </c>
    </row>
    <row r="16" spans="1:5" x14ac:dyDescent="0.25">
      <c r="A16" s="4">
        <v>10</v>
      </c>
      <c r="B16" s="4" t="s">
        <v>16</v>
      </c>
      <c r="C16" s="5">
        <v>24.25</v>
      </c>
      <c r="D16" s="1">
        <f t="shared" si="0"/>
        <v>48.5</v>
      </c>
      <c r="E16" s="5">
        <v>6</v>
      </c>
    </row>
    <row r="17" spans="1:10" x14ac:dyDescent="0.25">
      <c r="A17" s="4">
        <v>11</v>
      </c>
      <c r="B17" s="4" t="s">
        <v>36</v>
      </c>
      <c r="C17" s="5">
        <v>20.75</v>
      </c>
      <c r="D17" s="1">
        <f t="shared" si="0"/>
        <v>41.5</v>
      </c>
      <c r="E17" s="5">
        <v>7</v>
      </c>
    </row>
    <row r="18" spans="1:10" x14ac:dyDescent="0.25">
      <c r="A18" s="4">
        <v>12</v>
      </c>
      <c r="B18" s="9" t="s">
        <v>37</v>
      </c>
      <c r="C18" s="5">
        <v>18.5</v>
      </c>
      <c r="D18" s="1">
        <f t="shared" si="0"/>
        <v>37</v>
      </c>
      <c r="E18" s="5">
        <v>8</v>
      </c>
    </row>
    <row r="19" spans="1:10" x14ac:dyDescent="0.25">
      <c r="A19" s="4">
        <v>13</v>
      </c>
      <c r="B19" s="4" t="s">
        <v>51</v>
      </c>
      <c r="C19" s="5">
        <v>14.25</v>
      </c>
      <c r="D19" s="1">
        <f t="shared" si="0"/>
        <v>28.499999999999996</v>
      </c>
      <c r="E19" s="5">
        <v>9</v>
      </c>
    </row>
    <row r="20" spans="1:10" x14ac:dyDescent="0.25">
      <c r="A20" s="4">
        <v>14</v>
      </c>
      <c r="B20" s="10" t="s">
        <v>34</v>
      </c>
      <c r="C20" s="5">
        <v>11.25</v>
      </c>
      <c r="D20" s="1">
        <f t="shared" si="0"/>
        <v>22.5</v>
      </c>
      <c r="E20" s="5">
        <v>10</v>
      </c>
    </row>
    <row r="21" spans="1:10" x14ac:dyDescent="0.25">
      <c r="A21" s="4">
        <v>15</v>
      </c>
      <c r="B21" s="9" t="s">
        <v>32</v>
      </c>
      <c r="C21" s="5"/>
      <c r="D21" s="1">
        <f t="shared" si="0"/>
        <v>0</v>
      </c>
      <c r="E21" s="5"/>
    </row>
    <row r="22" spans="1:10" x14ac:dyDescent="0.25">
      <c r="A22" s="4">
        <v>16</v>
      </c>
      <c r="B22" s="10" t="s">
        <v>38</v>
      </c>
      <c r="C22" s="5"/>
      <c r="D22" s="1">
        <f t="shared" si="0"/>
        <v>0</v>
      </c>
      <c r="E22" s="5"/>
    </row>
    <row r="23" spans="1:10" x14ac:dyDescent="0.25">
      <c r="A23" s="4">
        <v>17</v>
      </c>
      <c r="B23" s="4" t="s">
        <v>8</v>
      </c>
      <c r="C23" s="5"/>
      <c r="D23" s="1">
        <f t="shared" si="0"/>
        <v>0</v>
      </c>
      <c r="E23" s="5"/>
    </row>
    <row r="24" spans="1:10" x14ac:dyDescent="0.25">
      <c r="A24" s="4">
        <v>18</v>
      </c>
      <c r="B24" s="4" t="s">
        <v>9</v>
      </c>
      <c r="C24" s="5"/>
      <c r="D24" s="1">
        <f t="shared" si="0"/>
        <v>0</v>
      </c>
      <c r="E24" s="5"/>
    </row>
    <row r="25" spans="1:10" x14ac:dyDescent="0.25">
      <c r="A25" s="4">
        <v>19</v>
      </c>
      <c r="B25" s="4" t="s">
        <v>14</v>
      </c>
      <c r="C25" s="5"/>
      <c r="D25" s="1">
        <f t="shared" si="0"/>
        <v>0</v>
      </c>
      <c r="E25" s="5"/>
    </row>
    <row r="26" spans="1:10" x14ac:dyDescent="0.25">
      <c r="A26" s="4">
        <v>20</v>
      </c>
      <c r="B26" s="4" t="s">
        <v>13</v>
      </c>
      <c r="C26" s="5"/>
      <c r="D26" s="1">
        <f t="shared" si="0"/>
        <v>0</v>
      </c>
      <c r="E26" s="5"/>
    </row>
    <row r="27" spans="1:10" x14ac:dyDescent="0.25">
      <c r="A27" s="4">
        <v>21</v>
      </c>
      <c r="B27" s="4" t="s">
        <v>31</v>
      </c>
      <c r="C27" s="5"/>
      <c r="D27" s="1">
        <f t="shared" si="0"/>
        <v>0</v>
      </c>
      <c r="E27" s="5"/>
    </row>
    <row r="28" spans="1:10" x14ac:dyDescent="0.25">
      <c r="A28" s="4">
        <v>22</v>
      </c>
      <c r="B28" s="10" t="s">
        <v>40</v>
      </c>
      <c r="C28" s="5"/>
      <c r="D28" s="1">
        <f t="shared" si="0"/>
        <v>0</v>
      </c>
      <c r="E28" s="5"/>
    </row>
    <row r="29" spans="1:10" x14ac:dyDescent="0.25">
      <c r="A29" s="4">
        <v>23</v>
      </c>
      <c r="B29" s="9" t="s">
        <v>42</v>
      </c>
      <c r="C29" s="5"/>
      <c r="D29" s="1">
        <f t="shared" si="0"/>
        <v>0</v>
      </c>
      <c r="E29" s="5"/>
      <c r="J29" t="s">
        <v>43</v>
      </c>
    </row>
    <row r="30" spans="1:10" x14ac:dyDescent="0.25">
      <c r="A30" s="4">
        <v>24</v>
      </c>
      <c r="B30" s="4" t="s">
        <v>39</v>
      </c>
      <c r="C30" s="5"/>
      <c r="D30" s="1">
        <f t="shared" si="0"/>
        <v>0</v>
      </c>
      <c r="E30" s="5"/>
    </row>
    <row r="31" spans="1:10" x14ac:dyDescent="0.25">
      <c r="A31" s="4">
        <v>25</v>
      </c>
      <c r="B31" s="4" t="s">
        <v>11</v>
      </c>
      <c r="C31" s="5"/>
      <c r="D31" s="1">
        <f t="shared" si="0"/>
        <v>0</v>
      </c>
      <c r="E31" s="5"/>
    </row>
    <row r="32" spans="1:10" x14ac:dyDescent="0.25">
      <c r="A32" s="4">
        <v>26</v>
      </c>
      <c r="B32" s="4" t="s">
        <v>7</v>
      </c>
      <c r="C32" s="5"/>
      <c r="D32" s="1">
        <f t="shared" si="0"/>
        <v>0</v>
      </c>
      <c r="E32" s="5"/>
    </row>
    <row r="33" spans="1:5" x14ac:dyDescent="0.25">
      <c r="A33" s="4">
        <v>27</v>
      </c>
      <c r="B33" s="4" t="s">
        <v>10</v>
      </c>
      <c r="C33" s="5"/>
      <c r="D33" s="1">
        <f t="shared" si="0"/>
        <v>0</v>
      </c>
      <c r="E33" s="5"/>
    </row>
    <row r="34" spans="1:5" ht="15.75" x14ac:dyDescent="0.25">
      <c r="B34" s="7" t="s">
        <v>17</v>
      </c>
      <c r="C34" s="7" t="s">
        <v>18</v>
      </c>
    </row>
    <row r="35" spans="1:5" ht="15.75" x14ac:dyDescent="0.25">
      <c r="B35" s="7" t="s">
        <v>19</v>
      </c>
      <c r="C35" s="7" t="s">
        <v>20</v>
      </c>
    </row>
    <row r="36" spans="1:5" ht="15.75" x14ac:dyDescent="0.25">
      <c r="B36" s="7" t="s">
        <v>21</v>
      </c>
      <c r="C36" s="7" t="s">
        <v>22</v>
      </c>
    </row>
    <row r="38" spans="1:5" x14ac:dyDescent="0.25">
      <c r="A38" s="8" t="s">
        <v>23</v>
      </c>
    </row>
  </sheetData>
  <sortState ref="B7:D33">
    <sortCondition descending="1" ref="D7:D33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I21" sqref="I21"/>
    </sheetView>
  </sheetViews>
  <sheetFormatPr defaultRowHeight="15" x14ac:dyDescent="0.25"/>
  <cols>
    <col min="2" max="2" width="23.42578125" bestFit="1" customWidth="1"/>
    <col min="3" max="3" width="17.7109375" style="6" bestFit="1" customWidth="1"/>
    <col min="4" max="4" width="4.28515625" customWidth="1"/>
    <col min="5" max="5" width="9.140625" style="6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59</v>
      </c>
      <c r="B2" s="12"/>
      <c r="C2" s="12"/>
      <c r="D2" s="12"/>
      <c r="E2" s="12"/>
    </row>
    <row r="3" spans="1:5" ht="23.25" x14ac:dyDescent="0.35">
      <c r="A3" s="12" t="s">
        <v>24</v>
      </c>
      <c r="B3" s="12"/>
      <c r="C3" s="12"/>
      <c r="D3" s="12"/>
      <c r="E3" s="12"/>
    </row>
    <row r="4" spans="1:5" ht="23.25" x14ac:dyDescent="0.35">
      <c r="A4" s="12" t="s">
        <v>2</v>
      </c>
      <c r="B4" s="12"/>
      <c r="C4" s="12"/>
      <c r="D4" s="12"/>
      <c r="E4" s="12"/>
    </row>
    <row r="5" spans="1:5" ht="23.25" x14ac:dyDescent="0.35">
      <c r="A5" s="13" t="s">
        <v>56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55</v>
      </c>
      <c r="D6" s="3" t="s">
        <v>5</v>
      </c>
      <c r="E6" s="3" t="s">
        <v>6</v>
      </c>
    </row>
    <row r="7" spans="1:5" x14ac:dyDescent="0.25">
      <c r="A7" s="4">
        <v>1</v>
      </c>
      <c r="B7" s="9" t="s">
        <v>37</v>
      </c>
      <c r="C7" s="5">
        <v>18.5</v>
      </c>
      <c r="D7" s="1">
        <f t="shared" ref="D7:D24" si="0">C7/25*100</f>
        <v>74</v>
      </c>
      <c r="E7" s="5">
        <v>1</v>
      </c>
    </row>
    <row r="8" spans="1:5" x14ac:dyDescent="0.25">
      <c r="A8" s="4">
        <v>2</v>
      </c>
      <c r="B8" s="4" t="s">
        <v>31</v>
      </c>
      <c r="C8" s="5">
        <v>17.25</v>
      </c>
      <c r="D8" s="1">
        <f t="shared" si="0"/>
        <v>69</v>
      </c>
      <c r="E8" s="5">
        <v>2</v>
      </c>
    </row>
    <row r="9" spans="1:5" x14ac:dyDescent="0.25">
      <c r="A9" s="4">
        <v>3</v>
      </c>
      <c r="B9" s="10" t="s">
        <v>30</v>
      </c>
      <c r="C9" s="5">
        <v>17</v>
      </c>
      <c r="D9" s="1">
        <f t="shared" si="0"/>
        <v>68</v>
      </c>
      <c r="E9" s="5">
        <v>3</v>
      </c>
    </row>
    <row r="10" spans="1:5" x14ac:dyDescent="0.25">
      <c r="A10" s="4">
        <v>4</v>
      </c>
      <c r="B10" s="4" t="s">
        <v>33</v>
      </c>
      <c r="C10" s="5">
        <v>16.25</v>
      </c>
      <c r="D10" s="1">
        <f t="shared" si="0"/>
        <v>65</v>
      </c>
      <c r="E10" s="5">
        <v>4</v>
      </c>
    </row>
    <row r="11" spans="1:5" x14ac:dyDescent="0.25">
      <c r="A11" s="4">
        <v>5</v>
      </c>
      <c r="B11" s="9" t="s">
        <v>35</v>
      </c>
      <c r="C11" s="5">
        <v>15.75</v>
      </c>
      <c r="D11" s="1">
        <f t="shared" si="0"/>
        <v>63</v>
      </c>
      <c r="E11" s="5">
        <v>5</v>
      </c>
    </row>
    <row r="12" spans="1:5" x14ac:dyDescent="0.25">
      <c r="A12" s="4">
        <v>6</v>
      </c>
      <c r="B12" s="9" t="s">
        <v>32</v>
      </c>
      <c r="C12" s="5">
        <v>15</v>
      </c>
      <c r="D12" s="1">
        <f t="shared" si="0"/>
        <v>60</v>
      </c>
      <c r="E12" s="5">
        <v>6</v>
      </c>
    </row>
    <row r="13" spans="1:5" x14ac:dyDescent="0.25">
      <c r="A13" s="4">
        <v>7</v>
      </c>
      <c r="B13" s="10" t="s">
        <v>28</v>
      </c>
      <c r="C13" s="5">
        <v>14.25</v>
      </c>
      <c r="D13" s="1">
        <f t="shared" si="0"/>
        <v>56.999999999999993</v>
      </c>
      <c r="E13" s="5">
        <v>7</v>
      </c>
    </row>
    <row r="14" spans="1:5" x14ac:dyDescent="0.25">
      <c r="A14" s="4">
        <v>8</v>
      </c>
      <c r="B14" s="10" t="s">
        <v>41</v>
      </c>
      <c r="C14" s="5">
        <v>13.5</v>
      </c>
      <c r="D14" s="1">
        <f t="shared" si="0"/>
        <v>54</v>
      </c>
      <c r="E14" s="5">
        <v>8</v>
      </c>
    </row>
    <row r="15" spans="1:5" x14ac:dyDescent="0.25">
      <c r="A15" s="4">
        <v>9</v>
      </c>
      <c r="B15" s="9" t="s">
        <v>27</v>
      </c>
      <c r="C15" s="5">
        <v>13.5</v>
      </c>
      <c r="D15" s="1">
        <f t="shared" si="0"/>
        <v>54</v>
      </c>
      <c r="E15" s="5">
        <v>9</v>
      </c>
    </row>
    <row r="16" spans="1:5" x14ac:dyDescent="0.25">
      <c r="A16" s="4">
        <v>10</v>
      </c>
      <c r="B16" s="4" t="s">
        <v>58</v>
      </c>
      <c r="C16" s="5">
        <v>12.75</v>
      </c>
      <c r="D16" s="1">
        <f t="shared" si="0"/>
        <v>51</v>
      </c>
      <c r="E16" s="5">
        <v>10</v>
      </c>
    </row>
    <row r="17" spans="1:5" x14ac:dyDescent="0.25">
      <c r="A17" s="4">
        <v>11</v>
      </c>
      <c r="B17" s="10" t="s">
        <v>40</v>
      </c>
      <c r="C17" s="5">
        <v>11.25</v>
      </c>
      <c r="D17" s="1">
        <f t="shared" si="0"/>
        <v>45</v>
      </c>
      <c r="E17" s="5">
        <v>11</v>
      </c>
    </row>
    <row r="18" spans="1:5" x14ac:dyDescent="0.25">
      <c r="A18" s="4">
        <v>12</v>
      </c>
      <c r="B18" s="10" t="s">
        <v>29</v>
      </c>
      <c r="C18" s="5">
        <v>10.25</v>
      </c>
      <c r="D18" s="1">
        <f t="shared" si="0"/>
        <v>41</v>
      </c>
      <c r="E18" s="5">
        <v>12</v>
      </c>
    </row>
    <row r="19" spans="1:5" x14ac:dyDescent="0.25">
      <c r="A19" s="4">
        <v>13</v>
      </c>
      <c r="B19" s="4" t="s">
        <v>36</v>
      </c>
      <c r="C19" s="5">
        <v>10.25</v>
      </c>
      <c r="D19" s="1">
        <f t="shared" si="0"/>
        <v>41</v>
      </c>
      <c r="E19" s="5">
        <v>12</v>
      </c>
    </row>
    <row r="20" spans="1:5" x14ac:dyDescent="0.25">
      <c r="A20" s="4">
        <v>14</v>
      </c>
      <c r="B20" s="10" t="s">
        <v>34</v>
      </c>
      <c r="C20" s="5">
        <v>9.75</v>
      </c>
      <c r="D20" s="1">
        <f t="shared" si="0"/>
        <v>39</v>
      </c>
      <c r="E20" s="5">
        <v>13</v>
      </c>
    </row>
    <row r="21" spans="1:5" x14ac:dyDescent="0.25">
      <c r="A21" s="4">
        <v>15</v>
      </c>
      <c r="B21" s="4" t="s">
        <v>51</v>
      </c>
      <c r="C21" s="5">
        <v>7.25</v>
      </c>
      <c r="D21" s="1">
        <f t="shared" si="0"/>
        <v>28.999999999999996</v>
      </c>
      <c r="E21" s="5">
        <v>14</v>
      </c>
    </row>
    <row r="22" spans="1:5" x14ac:dyDescent="0.25">
      <c r="A22" s="4">
        <v>16</v>
      </c>
      <c r="B22" s="4" t="s">
        <v>57</v>
      </c>
      <c r="C22" s="5">
        <v>7.25</v>
      </c>
      <c r="D22" s="1">
        <f t="shared" si="0"/>
        <v>28.999999999999996</v>
      </c>
      <c r="E22" s="5">
        <v>14</v>
      </c>
    </row>
    <row r="23" spans="1:5" x14ac:dyDescent="0.25">
      <c r="A23" s="4">
        <v>17</v>
      </c>
      <c r="B23" s="10" t="s">
        <v>38</v>
      </c>
      <c r="C23" s="5">
        <v>5.5</v>
      </c>
      <c r="D23" s="1">
        <f t="shared" si="0"/>
        <v>22</v>
      </c>
      <c r="E23" s="5">
        <v>15</v>
      </c>
    </row>
    <row r="24" spans="1:5" x14ac:dyDescent="0.25">
      <c r="A24" s="4">
        <v>18</v>
      </c>
      <c r="B24" s="4" t="s">
        <v>39</v>
      </c>
      <c r="C24" s="5">
        <v>4.5</v>
      </c>
      <c r="D24" s="1">
        <f t="shared" si="0"/>
        <v>18</v>
      </c>
      <c r="E24" s="5">
        <v>16</v>
      </c>
    </row>
    <row r="25" spans="1:5" ht="15.75" x14ac:dyDescent="0.25">
      <c r="B25" s="7" t="s">
        <v>17</v>
      </c>
      <c r="C25" s="7" t="s">
        <v>18</v>
      </c>
    </row>
    <row r="26" spans="1:5" ht="15.75" x14ac:dyDescent="0.25">
      <c r="B26" s="7" t="s">
        <v>19</v>
      </c>
      <c r="C26" s="7" t="s">
        <v>20</v>
      </c>
    </row>
    <row r="27" spans="1:5" ht="15.75" x14ac:dyDescent="0.25">
      <c r="B27" s="7" t="s">
        <v>21</v>
      </c>
      <c r="C27" s="7" t="s">
        <v>22</v>
      </c>
    </row>
    <row r="29" spans="1:5" x14ac:dyDescent="0.25">
      <c r="A29" s="8" t="s">
        <v>23</v>
      </c>
    </row>
  </sheetData>
  <sortState ref="B7:E33">
    <sortCondition descending="1" ref="D7:D33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A2" workbookViewId="0">
      <selection activeCell="M18" sqref="M18"/>
    </sheetView>
  </sheetViews>
  <sheetFormatPr defaultRowHeight="15" x14ac:dyDescent="0.25"/>
  <cols>
    <col min="2" max="2" width="23.42578125" bestFit="1" customWidth="1"/>
    <col min="3" max="3" width="17.7109375" style="6" bestFit="1" customWidth="1"/>
    <col min="4" max="4" width="4.28515625" customWidth="1"/>
    <col min="5" max="5" width="9.140625" style="6"/>
    <col min="7" max="7" width="3.85546875" customWidth="1"/>
  </cols>
  <sheetData>
    <row r="1" spans="1:8" ht="25.5" x14ac:dyDescent="0.35">
      <c r="A1" s="11" t="s">
        <v>0</v>
      </c>
      <c r="B1" s="11"/>
      <c r="C1" s="11"/>
      <c r="D1" s="11"/>
      <c r="E1" s="11"/>
    </row>
    <row r="2" spans="1:8" ht="23.25" x14ac:dyDescent="0.35">
      <c r="A2" s="12" t="s">
        <v>59</v>
      </c>
      <c r="B2" s="12"/>
      <c r="C2" s="12"/>
      <c r="D2" s="12"/>
      <c r="E2" s="12"/>
    </row>
    <row r="3" spans="1:8" ht="23.25" x14ac:dyDescent="0.35">
      <c r="A3" s="12" t="s">
        <v>24</v>
      </c>
      <c r="B3" s="12"/>
      <c r="C3" s="12"/>
      <c r="D3" s="12"/>
      <c r="E3" s="12"/>
    </row>
    <row r="4" spans="1:8" ht="23.25" x14ac:dyDescent="0.35">
      <c r="A4" s="12" t="s">
        <v>2</v>
      </c>
      <c r="B4" s="12"/>
      <c r="C4" s="12"/>
      <c r="D4" s="12"/>
      <c r="E4" s="12"/>
    </row>
    <row r="5" spans="1:8" ht="23.25" x14ac:dyDescent="0.35">
      <c r="A5" s="13" t="s">
        <v>56</v>
      </c>
      <c r="B5" s="13"/>
      <c r="C5" s="13"/>
      <c r="D5" s="13"/>
      <c r="E5" s="13"/>
    </row>
    <row r="6" spans="1:8" x14ac:dyDescent="0.25">
      <c r="A6" s="1" t="s">
        <v>3</v>
      </c>
      <c r="B6" s="1" t="s">
        <v>4</v>
      </c>
      <c r="C6" s="2" t="s">
        <v>55</v>
      </c>
      <c r="D6" s="3" t="s">
        <v>5</v>
      </c>
      <c r="E6" s="3" t="s">
        <v>6</v>
      </c>
      <c r="F6" s="2" t="s">
        <v>26</v>
      </c>
      <c r="G6" s="3" t="s">
        <v>5</v>
      </c>
      <c r="H6" s="3" t="s">
        <v>6</v>
      </c>
    </row>
    <row r="7" spans="1:8" x14ac:dyDescent="0.25">
      <c r="A7" s="4">
        <v>1</v>
      </c>
      <c r="B7" s="9" t="s">
        <v>37</v>
      </c>
      <c r="C7" s="5">
        <v>18.5</v>
      </c>
      <c r="D7" s="1">
        <f t="shared" ref="D7:D25" si="0">C7/25*100</f>
        <v>74</v>
      </c>
      <c r="E7" s="5">
        <v>1</v>
      </c>
      <c r="F7" s="5">
        <v>11</v>
      </c>
      <c r="G7" s="1">
        <f>F7/20*100</f>
        <v>55.000000000000007</v>
      </c>
      <c r="H7" s="5"/>
    </row>
    <row r="8" spans="1:8" x14ac:dyDescent="0.25">
      <c r="A8" s="4">
        <v>2</v>
      </c>
      <c r="B8" s="4" t="s">
        <v>31</v>
      </c>
      <c r="C8" s="5">
        <v>17.25</v>
      </c>
      <c r="D8" s="1">
        <f t="shared" si="0"/>
        <v>69</v>
      </c>
      <c r="E8" s="5">
        <v>2</v>
      </c>
      <c r="F8" s="5">
        <v>15.5</v>
      </c>
      <c r="G8" s="1">
        <f t="shared" ref="G8:G26" si="1">F8/20*100</f>
        <v>77.5</v>
      </c>
      <c r="H8" s="5"/>
    </row>
    <row r="9" spans="1:8" x14ac:dyDescent="0.25">
      <c r="A9" s="4">
        <v>3</v>
      </c>
      <c r="B9" s="10" t="s">
        <v>30</v>
      </c>
      <c r="C9" s="5">
        <v>17</v>
      </c>
      <c r="D9" s="1">
        <f t="shared" si="0"/>
        <v>68</v>
      </c>
      <c r="E9" s="5">
        <v>3</v>
      </c>
      <c r="F9" s="5">
        <v>9.5</v>
      </c>
      <c r="G9" s="1">
        <f t="shared" si="1"/>
        <v>47.5</v>
      </c>
      <c r="H9" s="5"/>
    </row>
    <row r="10" spans="1:8" x14ac:dyDescent="0.25">
      <c r="A10" s="4">
        <v>4</v>
      </c>
      <c r="B10" s="4" t="s">
        <v>33</v>
      </c>
      <c r="C10" s="5">
        <v>16.25</v>
      </c>
      <c r="D10" s="1">
        <f t="shared" si="0"/>
        <v>65</v>
      </c>
      <c r="E10" s="5">
        <v>4</v>
      </c>
      <c r="F10" s="5">
        <v>10.25</v>
      </c>
      <c r="G10" s="1">
        <f t="shared" si="1"/>
        <v>51.249999999999993</v>
      </c>
      <c r="H10" s="5"/>
    </row>
    <row r="11" spans="1:8" x14ac:dyDescent="0.25">
      <c r="A11" s="4">
        <v>5</v>
      </c>
      <c r="B11" s="9" t="s">
        <v>35</v>
      </c>
      <c r="C11" s="5">
        <v>15.75</v>
      </c>
      <c r="D11" s="1">
        <f t="shared" si="0"/>
        <v>63</v>
      </c>
      <c r="E11" s="5">
        <v>5</v>
      </c>
      <c r="F11" s="5">
        <v>11.25</v>
      </c>
      <c r="G11" s="1">
        <f t="shared" si="1"/>
        <v>56.25</v>
      </c>
      <c r="H11" s="5"/>
    </row>
    <row r="12" spans="1:8" x14ac:dyDescent="0.25">
      <c r="A12" s="4">
        <v>6</v>
      </c>
      <c r="B12" s="9" t="s">
        <v>32</v>
      </c>
      <c r="C12" s="5">
        <v>15</v>
      </c>
      <c r="D12" s="1">
        <f t="shared" si="0"/>
        <v>60</v>
      </c>
      <c r="E12" s="5">
        <v>6</v>
      </c>
      <c r="F12" s="5"/>
      <c r="G12" s="1">
        <f t="shared" si="1"/>
        <v>0</v>
      </c>
      <c r="H12" s="5"/>
    </row>
    <row r="13" spans="1:8" x14ac:dyDescent="0.25">
      <c r="A13" s="4">
        <v>7</v>
      </c>
      <c r="B13" s="10" t="s">
        <v>28</v>
      </c>
      <c r="C13" s="5">
        <v>14.25</v>
      </c>
      <c r="D13" s="1">
        <f t="shared" si="0"/>
        <v>56.999999999999993</v>
      </c>
      <c r="E13" s="5">
        <v>7</v>
      </c>
      <c r="F13" s="5"/>
      <c r="G13" s="1">
        <f t="shared" si="1"/>
        <v>0</v>
      </c>
      <c r="H13" s="5"/>
    </row>
    <row r="14" spans="1:8" x14ac:dyDescent="0.25">
      <c r="A14" s="4">
        <v>8</v>
      </c>
      <c r="B14" s="10" t="s">
        <v>41</v>
      </c>
      <c r="C14" s="5">
        <v>13.5</v>
      </c>
      <c r="D14" s="1">
        <f t="shared" si="0"/>
        <v>54</v>
      </c>
      <c r="E14" s="5">
        <v>8</v>
      </c>
      <c r="F14" s="5"/>
      <c r="G14" s="1">
        <f t="shared" si="1"/>
        <v>0</v>
      </c>
      <c r="H14" s="5"/>
    </row>
    <row r="15" spans="1:8" x14ac:dyDescent="0.25">
      <c r="A15" s="4">
        <v>9</v>
      </c>
      <c r="B15" s="9" t="s">
        <v>27</v>
      </c>
      <c r="C15" s="5">
        <v>13.5</v>
      </c>
      <c r="D15" s="1">
        <f t="shared" si="0"/>
        <v>54</v>
      </c>
      <c r="E15" s="5">
        <v>9</v>
      </c>
      <c r="F15" s="5">
        <v>7.5</v>
      </c>
      <c r="G15" s="1">
        <f t="shared" si="1"/>
        <v>37.5</v>
      </c>
      <c r="H15" s="5"/>
    </row>
    <row r="16" spans="1:8" x14ac:dyDescent="0.25">
      <c r="A16" s="4">
        <v>10</v>
      </c>
      <c r="B16" s="4" t="s">
        <v>58</v>
      </c>
      <c r="C16" s="5">
        <v>12.75</v>
      </c>
      <c r="D16" s="1">
        <f t="shared" si="0"/>
        <v>51</v>
      </c>
      <c r="E16" s="5">
        <v>10</v>
      </c>
      <c r="F16" s="5">
        <v>15.25</v>
      </c>
      <c r="G16" s="1">
        <f t="shared" si="1"/>
        <v>76.25</v>
      </c>
      <c r="H16" s="5"/>
    </row>
    <row r="17" spans="1:8" x14ac:dyDescent="0.25">
      <c r="A17" s="4">
        <v>11</v>
      </c>
      <c r="B17" s="10" t="s">
        <v>40</v>
      </c>
      <c r="C17" s="5">
        <v>11.25</v>
      </c>
      <c r="D17" s="1">
        <f t="shared" si="0"/>
        <v>45</v>
      </c>
      <c r="E17" s="5">
        <v>11</v>
      </c>
      <c r="F17" s="5">
        <v>9</v>
      </c>
      <c r="G17" s="1">
        <f t="shared" si="1"/>
        <v>45</v>
      </c>
      <c r="H17" s="5"/>
    </row>
    <row r="18" spans="1:8" x14ac:dyDescent="0.25">
      <c r="A18" s="4">
        <v>12</v>
      </c>
      <c r="B18" s="10" t="s">
        <v>29</v>
      </c>
      <c r="C18" s="5">
        <v>10.25</v>
      </c>
      <c r="D18" s="1">
        <f t="shared" si="0"/>
        <v>41</v>
      </c>
      <c r="E18" s="5">
        <v>12</v>
      </c>
      <c r="F18" s="5">
        <v>7.75</v>
      </c>
      <c r="G18" s="1">
        <f t="shared" si="1"/>
        <v>38.75</v>
      </c>
      <c r="H18" s="5"/>
    </row>
    <row r="19" spans="1:8" x14ac:dyDescent="0.25">
      <c r="A19" s="4">
        <v>13</v>
      </c>
      <c r="B19" s="4" t="s">
        <v>36</v>
      </c>
      <c r="C19" s="5">
        <v>10.25</v>
      </c>
      <c r="D19" s="1">
        <f t="shared" si="0"/>
        <v>41</v>
      </c>
      <c r="E19" s="5">
        <v>12</v>
      </c>
      <c r="F19" s="5">
        <v>10.5</v>
      </c>
      <c r="G19" s="1">
        <f t="shared" si="1"/>
        <v>52.5</v>
      </c>
      <c r="H19" s="5"/>
    </row>
    <row r="20" spans="1:8" x14ac:dyDescent="0.25">
      <c r="A20" s="4">
        <v>14</v>
      </c>
      <c r="B20" s="10" t="s">
        <v>34</v>
      </c>
      <c r="C20" s="5">
        <v>9.75</v>
      </c>
      <c r="D20" s="1">
        <f t="shared" si="0"/>
        <v>39</v>
      </c>
      <c r="E20" s="5">
        <v>13</v>
      </c>
      <c r="F20" s="5">
        <v>4.25</v>
      </c>
      <c r="G20" s="1">
        <f t="shared" si="1"/>
        <v>21.25</v>
      </c>
      <c r="H20" s="5"/>
    </row>
    <row r="21" spans="1:8" x14ac:dyDescent="0.25">
      <c r="A21" s="4">
        <v>15</v>
      </c>
      <c r="B21" s="4" t="s">
        <v>51</v>
      </c>
      <c r="C21" s="5">
        <v>7.25</v>
      </c>
      <c r="D21" s="1">
        <f t="shared" si="0"/>
        <v>28.999999999999996</v>
      </c>
      <c r="E21" s="5">
        <v>14</v>
      </c>
      <c r="F21" s="5"/>
      <c r="G21" s="1">
        <f t="shared" si="1"/>
        <v>0</v>
      </c>
      <c r="H21" s="5"/>
    </row>
    <row r="22" spans="1:8" x14ac:dyDescent="0.25">
      <c r="A22" s="4">
        <v>16</v>
      </c>
      <c r="B22" s="4" t="s">
        <v>57</v>
      </c>
      <c r="C22" s="5">
        <v>7.25</v>
      </c>
      <c r="D22" s="1">
        <f t="shared" si="0"/>
        <v>28.999999999999996</v>
      </c>
      <c r="E22" s="5">
        <v>14</v>
      </c>
      <c r="F22" s="5"/>
      <c r="G22" s="1">
        <f t="shared" si="1"/>
        <v>0</v>
      </c>
      <c r="H22" s="5"/>
    </row>
    <row r="23" spans="1:8" x14ac:dyDescent="0.25">
      <c r="A23" s="4">
        <v>17</v>
      </c>
      <c r="B23" s="10" t="s">
        <v>38</v>
      </c>
      <c r="C23" s="5">
        <v>5.5</v>
      </c>
      <c r="D23" s="1">
        <f t="shared" si="0"/>
        <v>22</v>
      </c>
      <c r="E23" s="5">
        <v>15</v>
      </c>
      <c r="F23" s="5">
        <v>7.25</v>
      </c>
      <c r="G23" s="1">
        <f t="shared" si="1"/>
        <v>36.25</v>
      </c>
      <c r="H23" s="5"/>
    </row>
    <row r="24" spans="1:8" x14ac:dyDescent="0.25">
      <c r="A24" s="4">
        <v>18</v>
      </c>
      <c r="B24" s="4" t="s">
        <v>39</v>
      </c>
      <c r="C24" s="5">
        <v>4.5</v>
      </c>
      <c r="D24" s="1">
        <f t="shared" si="0"/>
        <v>18</v>
      </c>
      <c r="E24" s="5">
        <v>16</v>
      </c>
      <c r="F24" s="5"/>
      <c r="G24" s="1">
        <f t="shared" si="1"/>
        <v>0</v>
      </c>
      <c r="H24" s="5"/>
    </row>
    <row r="25" spans="1:8" x14ac:dyDescent="0.25">
      <c r="A25" s="4">
        <v>19</v>
      </c>
      <c r="B25" s="4" t="s">
        <v>60</v>
      </c>
      <c r="C25" s="5"/>
      <c r="D25" s="1">
        <f t="shared" si="0"/>
        <v>0</v>
      </c>
      <c r="E25" s="5"/>
      <c r="F25" s="5">
        <v>7.25</v>
      </c>
      <c r="G25" s="1">
        <f t="shared" si="1"/>
        <v>36.25</v>
      </c>
      <c r="H25" s="5"/>
    </row>
    <row r="26" spans="1:8" x14ac:dyDescent="0.25">
      <c r="A26" s="14">
        <v>20</v>
      </c>
      <c r="B26" s="14" t="s">
        <v>61</v>
      </c>
      <c r="C26" s="5"/>
      <c r="D26" s="1"/>
      <c r="E26" s="5"/>
      <c r="F26" s="5">
        <v>11.5</v>
      </c>
      <c r="G26" s="1">
        <f t="shared" si="1"/>
        <v>57.499999999999993</v>
      </c>
      <c r="H26" s="5"/>
    </row>
    <row r="27" spans="1:8" ht="15.75" x14ac:dyDescent="0.25">
      <c r="B27" s="7" t="s">
        <v>17</v>
      </c>
      <c r="C27" s="7" t="s">
        <v>18</v>
      </c>
    </row>
    <row r="28" spans="1:8" ht="15.75" x14ac:dyDescent="0.25">
      <c r="B28" s="7" t="s">
        <v>19</v>
      </c>
      <c r="C28" s="7" t="s">
        <v>20</v>
      </c>
    </row>
    <row r="29" spans="1:8" ht="15.75" x14ac:dyDescent="0.25">
      <c r="B29" s="7" t="s">
        <v>21</v>
      </c>
      <c r="C29" s="7" t="s">
        <v>22</v>
      </c>
    </row>
    <row r="31" spans="1:8" x14ac:dyDescent="0.25">
      <c r="A31" s="8" t="s">
        <v>23</v>
      </c>
    </row>
  </sheetData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L9" sqref="L9"/>
    </sheetView>
  </sheetViews>
  <sheetFormatPr defaultRowHeight="15" x14ac:dyDescent="0.25"/>
  <cols>
    <col min="2" max="2" width="23.42578125" bestFit="1" customWidth="1"/>
    <col min="3" max="3" width="17.7109375" style="6" bestFit="1" customWidth="1"/>
    <col min="4" max="4" width="4.28515625" customWidth="1"/>
    <col min="5" max="5" width="9.140625" style="6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59</v>
      </c>
      <c r="B2" s="12"/>
      <c r="C2" s="12"/>
      <c r="D2" s="12"/>
      <c r="E2" s="12"/>
    </row>
    <row r="3" spans="1:5" ht="23.25" x14ac:dyDescent="0.35">
      <c r="A3" s="12" t="s">
        <v>24</v>
      </c>
      <c r="B3" s="12"/>
      <c r="C3" s="12"/>
      <c r="D3" s="12"/>
      <c r="E3" s="12"/>
    </row>
    <row r="4" spans="1:5" ht="23.25" x14ac:dyDescent="0.35">
      <c r="A4" s="12" t="s">
        <v>2</v>
      </c>
      <c r="B4" s="12"/>
      <c r="C4" s="12"/>
      <c r="D4" s="12"/>
      <c r="E4" s="12"/>
    </row>
    <row r="5" spans="1:5" ht="23.25" x14ac:dyDescent="0.35">
      <c r="A5" s="13" t="s">
        <v>62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45</v>
      </c>
      <c r="D6" s="3" t="s">
        <v>5</v>
      </c>
      <c r="E6" s="3" t="s">
        <v>6</v>
      </c>
    </row>
    <row r="7" spans="1:5" x14ac:dyDescent="0.25">
      <c r="A7" s="4">
        <v>1</v>
      </c>
      <c r="B7" s="10" t="s">
        <v>30</v>
      </c>
      <c r="C7" s="5">
        <v>8.75</v>
      </c>
      <c r="D7" s="1">
        <f>C7/10*100</f>
        <v>87.5</v>
      </c>
      <c r="E7" s="5"/>
    </row>
    <row r="8" spans="1:5" x14ac:dyDescent="0.25">
      <c r="A8" s="4">
        <v>2</v>
      </c>
      <c r="B8" s="4" t="s">
        <v>33</v>
      </c>
      <c r="C8" s="5">
        <v>8.75</v>
      </c>
      <c r="D8" s="1">
        <f>C8/10*100</f>
        <v>87.5</v>
      </c>
      <c r="E8" s="5"/>
    </row>
    <row r="9" spans="1:5" x14ac:dyDescent="0.25">
      <c r="A9" s="4">
        <v>3</v>
      </c>
      <c r="B9" s="10" t="s">
        <v>38</v>
      </c>
      <c r="C9" s="5">
        <v>8.75</v>
      </c>
      <c r="D9" s="1">
        <f>C9/10*100</f>
        <v>87.5</v>
      </c>
      <c r="E9" s="5"/>
    </row>
    <row r="10" spans="1:5" x14ac:dyDescent="0.25">
      <c r="A10" s="4">
        <v>4</v>
      </c>
      <c r="B10" s="4" t="s">
        <v>60</v>
      </c>
      <c r="C10" s="5">
        <v>8.75</v>
      </c>
      <c r="D10" s="1">
        <f>C10/10*100</f>
        <v>87.5</v>
      </c>
      <c r="E10" s="5"/>
    </row>
    <row r="11" spans="1:5" x14ac:dyDescent="0.25">
      <c r="A11" s="4">
        <v>5</v>
      </c>
      <c r="B11" s="9" t="s">
        <v>27</v>
      </c>
      <c r="C11" s="5">
        <v>8</v>
      </c>
      <c r="D11" s="1">
        <f>C11/10*100</f>
        <v>80</v>
      </c>
      <c r="E11" s="5"/>
    </row>
    <row r="12" spans="1:5" x14ac:dyDescent="0.25">
      <c r="A12" s="4">
        <v>6</v>
      </c>
      <c r="B12" s="4" t="s">
        <v>31</v>
      </c>
      <c r="C12" s="5">
        <v>7.75</v>
      </c>
      <c r="D12" s="1">
        <f>C12/10*100</f>
        <v>77.5</v>
      </c>
      <c r="E12" s="5"/>
    </row>
    <row r="13" spans="1:5" x14ac:dyDescent="0.25">
      <c r="A13" s="4">
        <v>7</v>
      </c>
      <c r="B13" s="9" t="s">
        <v>35</v>
      </c>
      <c r="C13" s="5">
        <v>7.75</v>
      </c>
      <c r="D13" s="1">
        <f>C13/10*100</f>
        <v>77.5</v>
      </c>
      <c r="E13" s="5"/>
    </row>
    <row r="14" spans="1:5" x14ac:dyDescent="0.25">
      <c r="A14" s="4">
        <v>8</v>
      </c>
      <c r="B14" s="4" t="s">
        <v>58</v>
      </c>
      <c r="C14" s="5">
        <v>7.75</v>
      </c>
      <c r="D14" s="1">
        <f>C14/10*100</f>
        <v>77.5</v>
      </c>
      <c r="E14" s="5"/>
    </row>
    <row r="15" spans="1:5" x14ac:dyDescent="0.25">
      <c r="A15" s="4">
        <v>9</v>
      </c>
      <c r="B15" s="4" t="s">
        <v>36</v>
      </c>
      <c r="C15" s="5">
        <v>7</v>
      </c>
      <c r="D15" s="1">
        <f>C15/10*100</f>
        <v>70</v>
      </c>
      <c r="E15" s="5"/>
    </row>
    <row r="16" spans="1:5" x14ac:dyDescent="0.25">
      <c r="A16" s="4">
        <v>10</v>
      </c>
      <c r="B16" s="10" t="s">
        <v>34</v>
      </c>
      <c r="C16" s="5">
        <v>5.5</v>
      </c>
      <c r="D16" s="1">
        <f>C16/10*100</f>
        <v>55.000000000000007</v>
      </c>
      <c r="E16" s="5"/>
    </row>
    <row r="17" spans="1:5" x14ac:dyDescent="0.25">
      <c r="A17" s="4">
        <v>11</v>
      </c>
      <c r="B17" s="9" t="s">
        <v>37</v>
      </c>
      <c r="C17" s="5">
        <v>5</v>
      </c>
      <c r="D17" s="1">
        <f>C17/10*100</f>
        <v>50</v>
      </c>
      <c r="E17" s="5"/>
    </row>
    <row r="18" spans="1:5" x14ac:dyDescent="0.25">
      <c r="A18" s="4">
        <v>12</v>
      </c>
      <c r="B18" s="10" t="s">
        <v>40</v>
      </c>
      <c r="C18" s="5">
        <v>4.75</v>
      </c>
      <c r="D18" s="1">
        <f>C18/10*100</f>
        <v>47.5</v>
      </c>
      <c r="E18" s="5"/>
    </row>
    <row r="19" spans="1:5" x14ac:dyDescent="0.25">
      <c r="A19" s="4">
        <v>13</v>
      </c>
      <c r="B19" s="4" t="s">
        <v>61</v>
      </c>
      <c r="C19" s="5">
        <v>4.75</v>
      </c>
      <c r="D19" s="1">
        <f>C19/10*100</f>
        <v>47.5</v>
      </c>
      <c r="E19" s="5"/>
    </row>
    <row r="20" spans="1:5" x14ac:dyDescent="0.25">
      <c r="A20" s="4">
        <v>14</v>
      </c>
      <c r="B20" s="10" t="s">
        <v>29</v>
      </c>
      <c r="C20" s="5">
        <v>4.25</v>
      </c>
      <c r="D20" s="1">
        <f>C20/10*100</f>
        <v>42.5</v>
      </c>
      <c r="E20" s="5"/>
    </row>
    <row r="21" spans="1:5" x14ac:dyDescent="0.25">
      <c r="A21" s="4">
        <v>15</v>
      </c>
      <c r="B21" s="9" t="s">
        <v>32</v>
      </c>
      <c r="C21" s="5"/>
      <c r="D21" s="1">
        <f>C21/10*100</f>
        <v>0</v>
      </c>
      <c r="E21" s="5"/>
    </row>
    <row r="22" spans="1:5" x14ac:dyDescent="0.25">
      <c r="A22" s="4">
        <v>16</v>
      </c>
      <c r="B22" s="10" t="s">
        <v>28</v>
      </c>
      <c r="C22" s="5"/>
      <c r="D22" s="1">
        <f>C22/10*100</f>
        <v>0</v>
      </c>
      <c r="E22" s="5"/>
    </row>
    <row r="23" spans="1:5" x14ac:dyDescent="0.25">
      <c r="A23" s="4">
        <v>17</v>
      </c>
      <c r="B23" s="10" t="s">
        <v>41</v>
      </c>
      <c r="C23" s="5"/>
      <c r="D23" s="1">
        <f>C23/10*100</f>
        <v>0</v>
      </c>
      <c r="E23" s="5"/>
    </row>
    <row r="24" spans="1:5" x14ac:dyDescent="0.25">
      <c r="A24" s="4">
        <v>18</v>
      </c>
      <c r="B24" s="4" t="s">
        <v>51</v>
      </c>
      <c r="C24" s="5"/>
      <c r="D24" s="1">
        <f>C24/10*100</f>
        <v>0</v>
      </c>
      <c r="E24" s="5"/>
    </row>
    <row r="25" spans="1:5" x14ac:dyDescent="0.25">
      <c r="A25" s="4">
        <v>19</v>
      </c>
      <c r="B25" s="4" t="s">
        <v>57</v>
      </c>
      <c r="C25" s="5"/>
      <c r="D25" s="1">
        <f>C25/10*100</f>
        <v>0</v>
      </c>
      <c r="E25" s="5"/>
    </row>
    <row r="26" spans="1:5" x14ac:dyDescent="0.25">
      <c r="A26" s="4">
        <v>20</v>
      </c>
      <c r="B26" s="4" t="s">
        <v>39</v>
      </c>
      <c r="C26" s="5"/>
      <c r="D26" s="1">
        <f>C26/10*100</f>
        <v>0</v>
      </c>
      <c r="E26" s="5"/>
    </row>
    <row r="27" spans="1:5" ht="15.75" x14ac:dyDescent="0.25">
      <c r="B27" s="7" t="s">
        <v>17</v>
      </c>
      <c r="C27" s="7" t="s">
        <v>18</v>
      </c>
    </row>
    <row r="28" spans="1:5" ht="15.75" x14ac:dyDescent="0.25">
      <c r="B28" s="7" t="s">
        <v>19</v>
      </c>
      <c r="C28" s="7" t="s">
        <v>20</v>
      </c>
    </row>
    <row r="29" spans="1:5" ht="15.75" x14ac:dyDescent="0.25">
      <c r="B29" s="7" t="s">
        <v>21</v>
      </c>
      <c r="C29" s="7" t="s">
        <v>22</v>
      </c>
    </row>
    <row r="31" spans="1:5" x14ac:dyDescent="0.25">
      <c r="A31" s="8" t="s">
        <v>23</v>
      </c>
    </row>
  </sheetData>
  <sortState ref="B7:D26">
    <sortCondition descending="1" ref="D7:D26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RATIO- SEPT -26</vt:lpstr>
      <vt:lpstr>RATIO JAN-27</vt:lpstr>
      <vt:lpstr>PROPORTION JAN-27 (2)</vt:lpstr>
      <vt:lpstr>INDICES SEPT &amp; JAN-27 </vt:lpstr>
      <vt:lpstr>LOGARITHAM SEPT &amp; JAN-27)</vt:lpstr>
      <vt:lpstr>MCT -  STATI</vt:lpstr>
      <vt:lpstr>PART -2 STATI</vt:lpstr>
      <vt:lpstr>CHAPTER -2</vt:lpstr>
      <vt:lpstr>CHAPTER -2 -2</vt:lpstr>
      <vt:lpstr>CHAPTER -3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2026-10-05T06:48:33Z</dcterms:modified>
</cp:coreProperties>
</file>