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Sheet1" sheetId="1" r:id="rId1"/>
    <sheet name="Sheet1 (2)" sheetId="2" r:id="rId2"/>
    <sheet name="Sheet1 (3)" sheetId="3" r:id="rId3"/>
    <sheet name="Sheet1 (4)" sheetId="4" r:id="rId4"/>
    <sheet name="BRS" sheetId="6" r:id="rId5"/>
    <sheet name="Sheet1 (5)" sheetId="5" r:id="rId6"/>
    <sheet name="DEPRECIATION" sheetId="7" r:id="rId7"/>
    <sheet name="INCOMPLETE" sheetId="8" r:id="rId8"/>
  </sheets>
  <calcPr calcId="152511"/>
</workbook>
</file>

<file path=xl/calcChain.xml><?xml version="1.0" encoding="utf-8"?>
<calcChain xmlns="http://schemas.openxmlformats.org/spreadsheetml/2006/main">
  <c r="D9" i="8" l="1"/>
  <c r="D13" i="8"/>
  <c r="D14" i="8"/>
  <c r="D10" i="8"/>
  <c r="D11" i="8"/>
  <c r="D12" i="8"/>
  <c r="D15" i="8"/>
  <c r="D16" i="8"/>
  <c r="D8" i="8"/>
  <c r="D7" i="8"/>
  <c r="D10" i="7"/>
  <c r="D9" i="7"/>
  <c r="D13" i="7"/>
  <c r="D8" i="7"/>
  <c r="D11" i="7"/>
  <c r="D12" i="7"/>
  <c r="D15" i="7"/>
  <c r="D16" i="7"/>
  <c r="D14" i="7"/>
  <c r="D7" i="7"/>
  <c r="D13" i="6" l="1"/>
  <c r="D16" i="6"/>
  <c r="D12" i="6"/>
  <c r="D11" i="6"/>
  <c r="D15" i="6"/>
  <c r="D8" i="6"/>
  <c r="D10" i="6"/>
  <c r="D14" i="6"/>
  <c r="D9" i="6"/>
  <c r="D7" i="6"/>
  <c r="D15" i="5" l="1"/>
  <c r="D8" i="5"/>
  <c r="D13" i="5"/>
  <c r="D11" i="5"/>
  <c r="D12" i="5"/>
  <c r="D9" i="5"/>
  <c r="D10" i="5"/>
  <c r="D14" i="5"/>
  <c r="D16" i="5"/>
  <c r="D7" i="5"/>
  <c r="D8" i="4"/>
  <c r="D9" i="4"/>
  <c r="D10" i="4"/>
  <c r="D11" i="4"/>
  <c r="D12" i="4"/>
  <c r="D13" i="4"/>
  <c r="D14" i="4"/>
  <c r="D15" i="4"/>
  <c r="D16" i="4"/>
  <c r="D7" i="4"/>
  <c r="D8" i="3" l="1"/>
  <c r="D9" i="3"/>
  <c r="D10" i="3"/>
  <c r="D11" i="3"/>
  <c r="D12" i="3"/>
  <c r="D13" i="3"/>
  <c r="D14" i="3"/>
  <c r="D15" i="3"/>
  <c r="D16" i="3"/>
  <c r="D7" i="3"/>
  <c r="D14" i="2" l="1"/>
  <c r="D15" i="2"/>
  <c r="D16" i="2"/>
  <c r="D9" i="2"/>
  <c r="D7" i="2"/>
  <c r="D8" i="2"/>
  <c r="D11" i="2"/>
  <c r="D12" i="2"/>
  <c r="D10" i="2"/>
  <c r="D13" i="2"/>
  <c r="D8" i="1" l="1"/>
  <c r="D10" i="1"/>
  <c r="D12" i="1"/>
  <c r="D13" i="1"/>
  <c r="D11" i="1"/>
  <c r="D16" i="1"/>
  <c r="D9" i="1"/>
  <c r="D15" i="1"/>
  <c r="D14" i="1"/>
  <c r="D7" i="1"/>
</calcChain>
</file>

<file path=xl/sharedStrings.xml><?xml version="1.0" encoding="utf-8"?>
<sst xmlns="http://schemas.openxmlformats.org/spreadsheetml/2006/main" count="222" uniqueCount="42">
  <si>
    <t>IAM TIRUR</t>
  </si>
  <si>
    <t>CA FOUNDATION  - SEPTEMBER 2026</t>
  </si>
  <si>
    <t>PAPER 1 - ACCOUNTING</t>
  </si>
  <si>
    <t>SL.NO</t>
  </si>
  <si>
    <t>NAME</t>
  </si>
  <si>
    <t>%</t>
  </si>
  <si>
    <t>RANK</t>
  </si>
  <si>
    <t>MORE THAN 60%</t>
  </si>
  <si>
    <t>SAFE ZONE</t>
  </si>
  <si>
    <t>BETWEEN 40% TO 60%</t>
  </si>
  <si>
    <t>FIFTY-FIFTY ZONE</t>
  </si>
  <si>
    <t>LESS THAN 40%</t>
  </si>
  <si>
    <t>DANGER ZONE</t>
  </si>
  <si>
    <t>MARK(30)</t>
  </si>
  <si>
    <t>SHANHA</t>
  </si>
  <si>
    <t>JISLA</t>
  </si>
  <si>
    <t>MOHD NAVAS</t>
  </si>
  <si>
    <t>MAZIN</t>
  </si>
  <si>
    <t>MOHD SHIFAN</t>
  </si>
  <si>
    <t>SHAHADA K</t>
  </si>
  <si>
    <t>MOHD SALMAN</t>
  </si>
  <si>
    <t>RISHA FATHIMA</t>
  </si>
  <si>
    <t>ZAID AHAMMED</t>
  </si>
  <si>
    <t>SANEEHA VM</t>
  </si>
  <si>
    <t>TEST SERIES</t>
  </si>
  <si>
    <t>UNIT EXAM -1-JOURNAL,ACCOUNTING EQUATIONS</t>
  </si>
  <si>
    <t>Learn, Grow and Succeed…it’s your Choice</t>
  </si>
  <si>
    <t>MARK(20)</t>
  </si>
  <si>
    <t>SHIFA</t>
  </si>
  <si>
    <t>UNIT EXAM -1-JOURNAL,ACCOUNTING EQUATIONS(Re test)</t>
  </si>
  <si>
    <t>UNIT EXAM 2 - BILL OF EXCHANGE</t>
  </si>
  <si>
    <t>MARK(25)</t>
  </si>
  <si>
    <t>UNIT EXAM 3- RECTIFICATION OF ERRORS</t>
  </si>
  <si>
    <t>AB</t>
  </si>
  <si>
    <t>PART EXAM 1- BRS,BILL,ERRORS,FINAL A/C</t>
  </si>
  <si>
    <t>MARK(45)</t>
  </si>
  <si>
    <t>UNIT EXAM 4- BRS</t>
  </si>
  <si>
    <t>A</t>
  </si>
  <si>
    <t>EXAM DATE</t>
  </si>
  <si>
    <t>UNIT EXAM 6-INCOMPLETE RECORDS</t>
  </si>
  <si>
    <t>MARK(12)</t>
  </si>
  <si>
    <t>UNIT EXAM 5-DEPRECIATION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</si>
</sst>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14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F26" sqref="F26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bestFit="1" customWidth="1"/>
    <col min="4" max="4" width="4.5703125" customWidth="1"/>
    <col min="5" max="5" width="13.7109375" customWidth="1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1</v>
      </c>
      <c r="B2" s="12"/>
      <c r="C2" s="12"/>
      <c r="D2" s="12"/>
      <c r="E2" s="12"/>
    </row>
    <row r="3" spans="1:5" ht="23.25" x14ac:dyDescent="0.35">
      <c r="A3" s="12" t="s">
        <v>2</v>
      </c>
      <c r="B3" s="12"/>
      <c r="C3" s="12"/>
      <c r="D3" s="12"/>
      <c r="E3" s="12"/>
    </row>
    <row r="4" spans="1:5" ht="23.25" x14ac:dyDescent="0.35">
      <c r="A4" s="12" t="s">
        <v>24</v>
      </c>
      <c r="B4" s="12"/>
      <c r="C4" s="12"/>
      <c r="D4" s="12"/>
      <c r="E4" s="12"/>
    </row>
    <row r="5" spans="1:5" ht="40.5" customHeight="1" x14ac:dyDescent="0.25">
      <c r="A5" s="13" t="s">
        <v>25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13</v>
      </c>
      <c r="D6" s="3" t="s">
        <v>5</v>
      </c>
      <c r="E6" s="3" t="s">
        <v>6</v>
      </c>
    </row>
    <row r="7" spans="1:5" x14ac:dyDescent="0.25">
      <c r="A7" s="4">
        <v>1</v>
      </c>
      <c r="B7" s="4" t="s">
        <v>14</v>
      </c>
      <c r="C7" s="5">
        <v>29</v>
      </c>
      <c r="D7" s="1">
        <f t="shared" ref="D7:D16" si="0">C7/30*100</f>
        <v>96.666666666666671</v>
      </c>
      <c r="E7" s="5">
        <v>1</v>
      </c>
    </row>
    <row r="8" spans="1:5" x14ac:dyDescent="0.25">
      <c r="A8" s="4">
        <v>2</v>
      </c>
      <c r="B8" s="4" t="s">
        <v>15</v>
      </c>
      <c r="C8" s="5">
        <v>29</v>
      </c>
      <c r="D8" s="1">
        <f t="shared" si="0"/>
        <v>96.666666666666671</v>
      </c>
      <c r="E8" s="5">
        <v>1</v>
      </c>
    </row>
    <row r="9" spans="1:5" x14ac:dyDescent="0.25">
      <c r="A9" s="4">
        <v>3</v>
      </c>
      <c r="B9" s="4" t="s">
        <v>21</v>
      </c>
      <c r="C9" s="5">
        <v>29</v>
      </c>
      <c r="D9" s="1">
        <f t="shared" si="0"/>
        <v>96.666666666666671</v>
      </c>
      <c r="E9" s="5">
        <v>1</v>
      </c>
    </row>
    <row r="10" spans="1:5" x14ac:dyDescent="0.25">
      <c r="A10" s="4">
        <v>4</v>
      </c>
      <c r="B10" s="4" t="s">
        <v>16</v>
      </c>
      <c r="C10" s="5">
        <v>27.5</v>
      </c>
      <c r="D10" s="1">
        <f t="shared" si="0"/>
        <v>91.666666666666657</v>
      </c>
      <c r="E10" s="5">
        <v>2</v>
      </c>
    </row>
    <row r="11" spans="1:5" x14ac:dyDescent="0.25">
      <c r="A11" s="4">
        <v>5</v>
      </c>
      <c r="B11" s="4" t="s">
        <v>19</v>
      </c>
      <c r="C11" s="5">
        <v>25.5</v>
      </c>
      <c r="D11" s="1">
        <f t="shared" si="0"/>
        <v>85</v>
      </c>
      <c r="E11" s="5">
        <v>3</v>
      </c>
    </row>
    <row r="12" spans="1:5" x14ac:dyDescent="0.25">
      <c r="A12" s="4">
        <v>6</v>
      </c>
      <c r="B12" s="4" t="s">
        <v>17</v>
      </c>
      <c r="C12" s="5">
        <v>25</v>
      </c>
      <c r="D12" s="1">
        <f t="shared" si="0"/>
        <v>83.333333333333343</v>
      </c>
      <c r="E12" s="5">
        <v>4</v>
      </c>
    </row>
    <row r="13" spans="1:5" x14ac:dyDescent="0.25">
      <c r="A13" s="4">
        <v>7</v>
      </c>
      <c r="B13" s="4" t="s">
        <v>18</v>
      </c>
      <c r="C13" s="5">
        <v>24</v>
      </c>
      <c r="D13" s="1">
        <f t="shared" si="0"/>
        <v>80</v>
      </c>
      <c r="E13" s="5">
        <v>5</v>
      </c>
    </row>
    <row r="14" spans="1:5" x14ac:dyDescent="0.25">
      <c r="A14" s="4">
        <v>8</v>
      </c>
      <c r="B14" s="4" t="s">
        <v>23</v>
      </c>
      <c r="C14" s="5">
        <v>20.5</v>
      </c>
      <c r="D14" s="1">
        <f t="shared" si="0"/>
        <v>68.333333333333329</v>
      </c>
      <c r="E14" s="5">
        <v>6</v>
      </c>
    </row>
    <row r="15" spans="1:5" x14ac:dyDescent="0.25">
      <c r="A15" s="4">
        <v>9</v>
      </c>
      <c r="B15" s="4" t="s">
        <v>22</v>
      </c>
      <c r="C15" s="5">
        <v>16</v>
      </c>
      <c r="D15" s="1">
        <f t="shared" si="0"/>
        <v>53.333333333333336</v>
      </c>
      <c r="E15" s="5">
        <v>7</v>
      </c>
    </row>
    <row r="16" spans="1:5" x14ac:dyDescent="0.25">
      <c r="A16" s="4">
        <v>10</v>
      </c>
      <c r="B16" s="4" t="s">
        <v>20</v>
      </c>
      <c r="C16" s="5">
        <v>14</v>
      </c>
      <c r="D16" s="1">
        <f t="shared" si="0"/>
        <v>46.666666666666664</v>
      </c>
      <c r="E16" s="5">
        <v>8</v>
      </c>
    </row>
    <row r="17" spans="1:5" x14ac:dyDescent="0.25">
      <c r="A17" s="4"/>
      <c r="B17" s="4"/>
      <c r="C17" s="5"/>
      <c r="D17" s="1"/>
      <c r="E17" s="5"/>
    </row>
    <row r="18" spans="1:5" x14ac:dyDescent="0.25">
      <c r="C18" s="6"/>
      <c r="D18" s="6"/>
      <c r="E18" s="6"/>
    </row>
    <row r="19" spans="1:5" ht="15.75" x14ac:dyDescent="0.25">
      <c r="B19" s="7" t="s">
        <v>7</v>
      </c>
      <c r="C19" s="7" t="s">
        <v>8</v>
      </c>
      <c r="D19" s="6"/>
      <c r="E19" s="6"/>
    </row>
    <row r="20" spans="1:5" ht="15.75" x14ac:dyDescent="0.25">
      <c r="B20" s="7" t="s">
        <v>9</v>
      </c>
      <c r="C20" s="7" t="s">
        <v>10</v>
      </c>
      <c r="D20" s="6"/>
      <c r="E20" s="6"/>
    </row>
    <row r="21" spans="1:5" ht="15.75" x14ac:dyDescent="0.25">
      <c r="B21" s="7" t="s">
        <v>11</v>
      </c>
      <c r="C21" s="7" t="s">
        <v>12</v>
      </c>
      <c r="D21" s="6"/>
      <c r="E21" s="6"/>
    </row>
    <row r="23" spans="1:5" x14ac:dyDescent="0.25">
      <c r="A23" s="8" t="s">
        <v>26</v>
      </c>
    </row>
  </sheetData>
  <sortState ref="B6:D15">
    <sortCondition descending="1" ref="D6:D15"/>
  </sortState>
  <mergeCells count="5">
    <mergeCell ref="A1:E1"/>
    <mergeCell ref="A2:E2"/>
    <mergeCell ref="A3:E3"/>
    <mergeCell ref="A5:E5"/>
    <mergeCell ref="A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I28" sqref="I28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bestFit="1" customWidth="1"/>
    <col min="4" max="4" width="4.5703125" customWidth="1"/>
    <col min="5" max="5" width="13.7109375" customWidth="1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1</v>
      </c>
      <c r="B2" s="12"/>
      <c r="C2" s="12"/>
      <c r="D2" s="12"/>
      <c r="E2" s="12"/>
    </row>
    <row r="3" spans="1:5" ht="23.25" x14ac:dyDescent="0.35">
      <c r="A3" s="12" t="s">
        <v>2</v>
      </c>
      <c r="B3" s="12"/>
      <c r="C3" s="12"/>
      <c r="D3" s="12"/>
      <c r="E3" s="12"/>
    </row>
    <row r="4" spans="1:5" ht="23.25" x14ac:dyDescent="0.35">
      <c r="A4" s="12" t="s">
        <v>24</v>
      </c>
      <c r="B4" s="12"/>
      <c r="C4" s="12"/>
      <c r="D4" s="12"/>
      <c r="E4" s="12"/>
    </row>
    <row r="5" spans="1:5" ht="40.5" customHeight="1" x14ac:dyDescent="0.25">
      <c r="A5" s="13" t="s">
        <v>29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27</v>
      </c>
      <c r="D6" s="3" t="s">
        <v>5</v>
      </c>
      <c r="E6" s="3" t="s">
        <v>6</v>
      </c>
    </row>
    <row r="7" spans="1:5" x14ac:dyDescent="0.25">
      <c r="A7" s="4">
        <v>1</v>
      </c>
      <c r="B7" s="4" t="s">
        <v>17</v>
      </c>
      <c r="C7" s="5">
        <v>16.5</v>
      </c>
      <c r="D7" s="1">
        <f t="shared" ref="D7:D16" si="0">C7/20*100</f>
        <v>82.5</v>
      </c>
      <c r="E7" s="5">
        <v>1</v>
      </c>
    </row>
    <row r="8" spans="1:5" x14ac:dyDescent="0.25">
      <c r="A8" s="4">
        <v>2</v>
      </c>
      <c r="B8" s="4" t="s">
        <v>18</v>
      </c>
      <c r="C8" s="5">
        <v>16.5</v>
      </c>
      <c r="D8" s="1">
        <f t="shared" si="0"/>
        <v>82.5</v>
      </c>
      <c r="E8" s="5">
        <v>1</v>
      </c>
    </row>
    <row r="9" spans="1:5" x14ac:dyDescent="0.25">
      <c r="A9" s="4">
        <v>3</v>
      </c>
      <c r="B9" s="4" t="s">
        <v>19</v>
      </c>
      <c r="C9" s="5">
        <v>15</v>
      </c>
      <c r="D9" s="1">
        <f t="shared" si="0"/>
        <v>75</v>
      </c>
      <c r="E9" s="5">
        <v>2</v>
      </c>
    </row>
    <row r="10" spans="1:5" x14ac:dyDescent="0.25">
      <c r="A10" s="4">
        <v>4</v>
      </c>
      <c r="B10" s="4" t="s">
        <v>20</v>
      </c>
      <c r="C10" s="5">
        <v>15</v>
      </c>
      <c r="D10" s="1">
        <f t="shared" si="0"/>
        <v>75</v>
      </c>
      <c r="E10" s="5">
        <v>2</v>
      </c>
    </row>
    <row r="11" spans="1:5" x14ac:dyDescent="0.25">
      <c r="A11" s="4">
        <v>5</v>
      </c>
      <c r="B11" s="4" t="s">
        <v>23</v>
      </c>
      <c r="C11" s="5">
        <v>14</v>
      </c>
      <c r="D11" s="1">
        <f t="shared" si="0"/>
        <v>70</v>
      </c>
      <c r="E11" s="5">
        <v>3</v>
      </c>
    </row>
    <row r="12" spans="1:5" x14ac:dyDescent="0.25">
      <c r="A12" s="4">
        <v>6</v>
      </c>
      <c r="B12" s="4" t="s">
        <v>28</v>
      </c>
      <c r="C12" s="5">
        <v>14</v>
      </c>
      <c r="D12" s="1">
        <f t="shared" si="0"/>
        <v>70</v>
      </c>
      <c r="E12" s="5">
        <v>3</v>
      </c>
    </row>
    <row r="13" spans="1:5" x14ac:dyDescent="0.25">
      <c r="A13" s="4">
        <v>7</v>
      </c>
      <c r="B13" s="4" t="s">
        <v>14</v>
      </c>
      <c r="C13" s="5"/>
      <c r="D13" s="1">
        <f t="shared" si="0"/>
        <v>0</v>
      </c>
      <c r="E13" s="5"/>
    </row>
    <row r="14" spans="1:5" x14ac:dyDescent="0.25">
      <c r="A14" s="4">
        <v>8</v>
      </c>
      <c r="B14" s="4" t="s">
        <v>15</v>
      </c>
      <c r="C14" s="5"/>
      <c r="D14" s="1">
        <f t="shared" si="0"/>
        <v>0</v>
      </c>
      <c r="E14" s="5"/>
    </row>
    <row r="15" spans="1:5" x14ac:dyDescent="0.25">
      <c r="A15" s="4">
        <v>9</v>
      </c>
      <c r="B15" s="4" t="s">
        <v>21</v>
      </c>
      <c r="C15" s="5"/>
      <c r="D15" s="1">
        <f t="shared" si="0"/>
        <v>0</v>
      </c>
      <c r="E15" s="5"/>
    </row>
    <row r="16" spans="1:5" x14ac:dyDescent="0.25">
      <c r="A16" s="4">
        <v>10</v>
      </c>
      <c r="B16" s="4" t="s">
        <v>16</v>
      </c>
      <c r="C16" s="5"/>
      <c r="D16" s="1">
        <f t="shared" si="0"/>
        <v>0</v>
      </c>
      <c r="E16" s="5"/>
    </row>
    <row r="17" spans="1:5" x14ac:dyDescent="0.25">
      <c r="A17" s="4"/>
      <c r="B17" s="4"/>
      <c r="C17" s="5"/>
      <c r="D17" s="1"/>
      <c r="E17" s="5"/>
    </row>
    <row r="18" spans="1:5" x14ac:dyDescent="0.25">
      <c r="C18" s="6"/>
      <c r="D18" s="6"/>
      <c r="E18" s="6"/>
    </row>
    <row r="19" spans="1:5" ht="15.75" x14ac:dyDescent="0.25">
      <c r="B19" s="7" t="s">
        <v>7</v>
      </c>
      <c r="C19" s="7" t="s">
        <v>8</v>
      </c>
      <c r="D19" s="6"/>
      <c r="E19" s="6"/>
    </row>
    <row r="20" spans="1:5" ht="15.75" x14ac:dyDescent="0.25">
      <c r="B20" s="7" t="s">
        <v>9</v>
      </c>
      <c r="C20" s="7" t="s">
        <v>10</v>
      </c>
      <c r="D20" s="6"/>
      <c r="E20" s="6"/>
    </row>
    <row r="21" spans="1:5" ht="15.75" x14ac:dyDescent="0.25">
      <c r="B21" s="7" t="s">
        <v>11</v>
      </c>
      <c r="C21" s="7" t="s">
        <v>12</v>
      </c>
      <c r="D21" s="6"/>
      <c r="E21" s="6"/>
    </row>
    <row r="23" spans="1:5" x14ac:dyDescent="0.25">
      <c r="A23" s="8" t="s">
        <v>26</v>
      </c>
    </row>
  </sheetData>
  <sortState ref="B7:D16">
    <sortCondition descending="1" ref="D7:D16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N14" sqref="N14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bestFit="1" customWidth="1"/>
    <col min="4" max="4" width="4.5703125" customWidth="1"/>
    <col min="5" max="5" width="13.7109375" customWidth="1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1</v>
      </c>
      <c r="B2" s="12"/>
      <c r="C2" s="12"/>
      <c r="D2" s="12"/>
      <c r="E2" s="12"/>
    </row>
    <row r="3" spans="1:5" ht="23.25" x14ac:dyDescent="0.35">
      <c r="A3" s="12" t="s">
        <v>2</v>
      </c>
      <c r="B3" s="12"/>
      <c r="C3" s="12"/>
      <c r="D3" s="12"/>
      <c r="E3" s="12"/>
    </row>
    <row r="4" spans="1:5" ht="23.25" x14ac:dyDescent="0.35">
      <c r="A4" s="12" t="s">
        <v>24</v>
      </c>
      <c r="B4" s="12"/>
      <c r="C4" s="12"/>
      <c r="D4" s="12"/>
      <c r="E4" s="12"/>
    </row>
    <row r="5" spans="1:5" ht="40.5" customHeight="1" x14ac:dyDescent="0.25">
      <c r="A5" s="13" t="s">
        <v>30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31</v>
      </c>
      <c r="D6" s="3" t="s">
        <v>5</v>
      </c>
      <c r="E6" s="3" t="s">
        <v>6</v>
      </c>
    </row>
    <row r="7" spans="1:5" x14ac:dyDescent="0.25">
      <c r="A7" s="4">
        <v>1</v>
      </c>
      <c r="B7" s="4" t="s">
        <v>15</v>
      </c>
      <c r="C7" s="5">
        <v>18</v>
      </c>
      <c r="D7" s="1">
        <f>C7/25*100</f>
        <v>72</v>
      </c>
      <c r="E7" s="5">
        <v>1</v>
      </c>
    </row>
    <row r="8" spans="1:5" x14ac:dyDescent="0.25">
      <c r="A8" s="4">
        <v>2</v>
      </c>
      <c r="B8" s="4" t="s">
        <v>18</v>
      </c>
      <c r="C8" s="5">
        <v>17</v>
      </c>
      <c r="D8" s="1">
        <f t="shared" ref="D8:D16" si="0">C8/25*100</f>
        <v>68</v>
      </c>
      <c r="E8" s="5">
        <v>2</v>
      </c>
    </row>
    <row r="9" spans="1:5" x14ac:dyDescent="0.25">
      <c r="A9" s="4">
        <v>3</v>
      </c>
      <c r="B9" s="4" t="s">
        <v>19</v>
      </c>
      <c r="C9" s="5">
        <v>17</v>
      </c>
      <c r="D9" s="1">
        <f t="shared" si="0"/>
        <v>68</v>
      </c>
      <c r="E9" s="5">
        <v>2</v>
      </c>
    </row>
    <row r="10" spans="1:5" x14ac:dyDescent="0.25">
      <c r="A10" s="4">
        <v>4</v>
      </c>
      <c r="B10" s="4" t="s">
        <v>14</v>
      </c>
      <c r="C10" s="5">
        <v>17</v>
      </c>
      <c r="D10" s="1">
        <f t="shared" si="0"/>
        <v>68</v>
      </c>
      <c r="E10" s="5">
        <v>2</v>
      </c>
    </row>
    <row r="11" spans="1:5" x14ac:dyDescent="0.25">
      <c r="A11" s="4">
        <v>5</v>
      </c>
      <c r="B11" s="4" t="s">
        <v>21</v>
      </c>
      <c r="C11" s="5">
        <v>17</v>
      </c>
      <c r="D11" s="1">
        <f t="shared" si="0"/>
        <v>68</v>
      </c>
      <c r="E11" s="5">
        <v>2</v>
      </c>
    </row>
    <row r="12" spans="1:5" x14ac:dyDescent="0.25">
      <c r="A12" s="4">
        <v>6</v>
      </c>
      <c r="B12" s="4" t="s">
        <v>17</v>
      </c>
      <c r="C12" s="5">
        <v>16.5</v>
      </c>
      <c r="D12" s="1">
        <f t="shared" si="0"/>
        <v>66</v>
      </c>
      <c r="E12" s="5">
        <v>2</v>
      </c>
    </row>
    <row r="13" spans="1:5" x14ac:dyDescent="0.25">
      <c r="A13" s="4">
        <v>7</v>
      </c>
      <c r="B13" s="4" t="s">
        <v>20</v>
      </c>
      <c r="C13" s="5">
        <v>15</v>
      </c>
      <c r="D13" s="1">
        <f t="shared" si="0"/>
        <v>60</v>
      </c>
      <c r="E13" s="5">
        <v>3</v>
      </c>
    </row>
    <row r="14" spans="1:5" x14ac:dyDescent="0.25">
      <c r="A14" s="4">
        <v>8</v>
      </c>
      <c r="B14" s="4" t="s">
        <v>23</v>
      </c>
      <c r="C14" s="5">
        <v>15</v>
      </c>
      <c r="D14" s="1">
        <f t="shared" si="0"/>
        <v>60</v>
      </c>
      <c r="E14" s="5">
        <v>3</v>
      </c>
    </row>
    <row r="15" spans="1:5" x14ac:dyDescent="0.25">
      <c r="A15" s="4">
        <v>9</v>
      </c>
      <c r="B15" s="4" t="s">
        <v>28</v>
      </c>
      <c r="C15" s="5">
        <v>14</v>
      </c>
      <c r="D15" s="1">
        <f t="shared" si="0"/>
        <v>56.000000000000007</v>
      </c>
      <c r="E15" s="5">
        <v>4</v>
      </c>
    </row>
    <row r="16" spans="1:5" x14ac:dyDescent="0.25">
      <c r="A16" s="4">
        <v>10</v>
      </c>
      <c r="B16" s="4" t="s">
        <v>16</v>
      </c>
      <c r="C16" s="5">
        <v>14</v>
      </c>
      <c r="D16" s="1">
        <f t="shared" si="0"/>
        <v>56.000000000000007</v>
      </c>
      <c r="E16" s="5">
        <v>4</v>
      </c>
    </row>
    <row r="17" spans="1:5" x14ac:dyDescent="0.25">
      <c r="C17" s="6"/>
      <c r="D17" s="6"/>
      <c r="E17" s="6"/>
    </row>
    <row r="18" spans="1:5" ht="15.75" x14ac:dyDescent="0.25">
      <c r="B18" s="7" t="s">
        <v>7</v>
      </c>
      <c r="C18" s="7" t="s">
        <v>8</v>
      </c>
      <c r="D18" s="6"/>
      <c r="E18" s="6"/>
    </row>
    <row r="19" spans="1:5" ht="15.75" x14ac:dyDescent="0.25">
      <c r="B19" s="7" t="s">
        <v>9</v>
      </c>
      <c r="C19" s="7" t="s">
        <v>10</v>
      </c>
      <c r="D19" s="6"/>
      <c r="E19" s="6"/>
    </row>
    <row r="20" spans="1:5" ht="15.75" x14ac:dyDescent="0.25">
      <c r="B20" s="7" t="s">
        <v>11</v>
      </c>
      <c r="C20" s="7" t="s">
        <v>12</v>
      </c>
      <c r="D20" s="6"/>
      <c r="E20" s="6"/>
    </row>
    <row r="22" spans="1:5" x14ac:dyDescent="0.25">
      <c r="A22" s="8" t="s">
        <v>26</v>
      </c>
    </row>
  </sheetData>
  <sortState ref="B7:D16">
    <sortCondition descending="1" ref="D7:D16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M19" sqref="M19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bestFit="1" customWidth="1"/>
    <col min="4" max="4" width="4.5703125" customWidth="1"/>
    <col min="5" max="5" width="13.7109375" customWidth="1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1</v>
      </c>
      <c r="B2" s="12"/>
      <c r="C2" s="12"/>
      <c r="D2" s="12"/>
      <c r="E2" s="12"/>
    </row>
    <row r="3" spans="1:5" ht="23.25" x14ac:dyDescent="0.35">
      <c r="A3" s="12" t="s">
        <v>2</v>
      </c>
      <c r="B3" s="12"/>
      <c r="C3" s="12"/>
      <c r="D3" s="12"/>
      <c r="E3" s="12"/>
    </row>
    <row r="4" spans="1:5" ht="23.25" x14ac:dyDescent="0.35">
      <c r="A4" s="12" t="s">
        <v>24</v>
      </c>
      <c r="B4" s="12"/>
      <c r="C4" s="12"/>
      <c r="D4" s="12"/>
      <c r="E4" s="12"/>
    </row>
    <row r="5" spans="1:5" ht="40.5" customHeight="1" x14ac:dyDescent="0.25">
      <c r="A5" s="13" t="s">
        <v>32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27</v>
      </c>
      <c r="D6" s="3" t="s">
        <v>5</v>
      </c>
      <c r="E6" s="3" t="s">
        <v>6</v>
      </c>
    </row>
    <row r="7" spans="1:5" x14ac:dyDescent="0.25">
      <c r="A7" s="4">
        <v>1</v>
      </c>
      <c r="B7" s="4" t="s">
        <v>21</v>
      </c>
      <c r="C7" s="5">
        <v>20</v>
      </c>
      <c r="D7" s="1">
        <f>C7/20*100</f>
        <v>100</v>
      </c>
      <c r="E7" s="5">
        <v>1</v>
      </c>
    </row>
    <row r="8" spans="1:5" x14ac:dyDescent="0.25">
      <c r="A8" s="4">
        <v>2</v>
      </c>
      <c r="B8" s="4" t="s">
        <v>15</v>
      </c>
      <c r="C8" s="5">
        <v>19.5</v>
      </c>
      <c r="D8" s="1">
        <f t="shared" ref="D8:D16" si="0">C8/20*100</f>
        <v>97.5</v>
      </c>
      <c r="E8" s="5">
        <v>2</v>
      </c>
    </row>
    <row r="9" spans="1:5" x14ac:dyDescent="0.25">
      <c r="A9" s="4">
        <v>3</v>
      </c>
      <c r="B9" s="4" t="s">
        <v>17</v>
      </c>
      <c r="C9" s="5">
        <v>17.5</v>
      </c>
      <c r="D9" s="1">
        <f t="shared" si="0"/>
        <v>87.5</v>
      </c>
      <c r="E9" s="5">
        <v>3</v>
      </c>
    </row>
    <row r="10" spans="1:5" x14ac:dyDescent="0.25">
      <c r="A10" s="4">
        <v>4</v>
      </c>
      <c r="B10" s="4" t="s">
        <v>18</v>
      </c>
      <c r="C10" s="5">
        <v>15.5</v>
      </c>
      <c r="D10" s="1">
        <f t="shared" si="0"/>
        <v>77.5</v>
      </c>
      <c r="E10" s="5">
        <v>4</v>
      </c>
    </row>
    <row r="11" spans="1:5" x14ac:dyDescent="0.25">
      <c r="A11" s="4">
        <v>5</v>
      </c>
      <c r="B11" s="4" t="s">
        <v>16</v>
      </c>
      <c r="C11" s="5">
        <v>15</v>
      </c>
      <c r="D11" s="1">
        <f t="shared" si="0"/>
        <v>75</v>
      </c>
      <c r="E11" s="5">
        <v>5</v>
      </c>
    </row>
    <row r="12" spans="1:5" x14ac:dyDescent="0.25">
      <c r="A12" s="4">
        <v>6</v>
      </c>
      <c r="B12" s="4" t="s">
        <v>23</v>
      </c>
      <c r="C12" s="5">
        <v>14</v>
      </c>
      <c r="D12" s="1">
        <f t="shared" si="0"/>
        <v>70</v>
      </c>
      <c r="E12" s="5">
        <v>6</v>
      </c>
    </row>
    <row r="13" spans="1:5" x14ac:dyDescent="0.25">
      <c r="A13" s="4">
        <v>7</v>
      </c>
      <c r="B13" s="4" t="s">
        <v>14</v>
      </c>
      <c r="C13" s="5">
        <v>13</v>
      </c>
      <c r="D13" s="1">
        <f t="shared" si="0"/>
        <v>65</v>
      </c>
      <c r="E13" s="5">
        <v>7</v>
      </c>
    </row>
    <row r="14" spans="1:5" x14ac:dyDescent="0.25">
      <c r="A14" s="4">
        <v>8</v>
      </c>
      <c r="B14" s="4" t="s">
        <v>19</v>
      </c>
      <c r="C14" s="5">
        <v>11</v>
      </c>
      <c r="D14" s="1">
        <f t="shared" si="0"/>
        <v>55.000000000000007</v>
      </c>
      <c r="E14" s="5">
        <v>8</v>
      </c>
    </row>
    <row r="15" spans="1:5" x14ac:dyDescent="0.25">
      <c r="A15" s="4">
        <v>9</v>
      </c>
      <c r="B15" s="4" t="s">
        <v>20</v>
      </c>
      <c r="C15" s="5">
        <v>2</v>
      </c>
      <c r="D15" s="1">
        <f t="shared" si="0"/>
        <v>10</v>
      </c>
      <c r="E15" s="5">
        <v>9</v>
      </c>
    </row>
    <row r="16" spans="1:5" x14ac:dyDescent="0.25">
      <c r="A16" s="4">
        <v>10</v>
      </c>
      <c r="B16" s="4" t="s">
        <v>28</v>
      </c>
      <c r="C16" s="5" t="s">
        <v>33</v>
      </c>
      <c r="D16" s="1" t="e">
        <f t="shared" si="0"/>
        <v>#VALUE!</v>
      </c>
      <c r="E16" s="5"/>
    </row>
    <row r="17" spans="1:5" x14ac:dyDescent="0.25">
      <c r="C17" s="6"/>
      <c r="D17" s="6"/>
      <c r="E17" s="6"/>
    </row>
    <row r="18" spans="1:5" ht="15.75" x14ac:dyDescent="0.25">
      <c r="B18" s="7" t="s">
        <v>7</v>
      </c>
      <c r="C18" s="7" t="s">
        <v>8</v>
      </c>
      <c r="D18" s="6"/>
      <c r="E18" s="6"/>
    </row>
    <row r="19" spans="1:5" ht="15.75" x14ac:dyDescent="0.25">
      <c r="B19" s="7" t="s">
        <v>9</v>
      </c>
      <c r="C19" s="7" t="s">
        <v>10</v>
      </c>
      <c r="D19" s="6"/>
      <c r="E19" s="6"/>
    </row>
    <row r="20" spans="1:5" ht="15.75" x14ac:dyDescent="0.25">
      <c r="B20" s="7" t="s">
        <v>11</v>
      </c>
      <c r="C20" s="7" t="s">
        <v>12</v>
      </c>
      <c r="D20" s="6"/>
      <c r="E20" s="6"/>
    </row>
    <row r="22" spans="1:5" x14ac:dyDescent="0.25">
      <c r="A22" s="8" t="s">
        <v>26</v>
      </c>
    </row>
  </sheetData>
  <sortState ref="B7:D16">
    <sortCondition descending="1" ref="D7:D16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J20" sqref="J20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bestFit="1" customWidth="1"/>
    <col min="4" max="4" width="4.5703125" customWidth="1"/>
    <col min="5" max="5" width="13.7109375" customWidth="1"/>
    <col min="6" max="6" width="6.85546875" customWidth="1"/>
  </cols>
  <sheetData>
    <row r="1" spans="1:7" ht="25.5" x14ac:dyDescent="0.35">
      <c r="A1" s="11" t="s">
        <v>0</v>
      </c>
      <c r="B1" s="11"/>
      <c r="C1" s="11"/>
      <c r="D1" s="11"/>
      <c r="E1" s="11"/>
    </row>
    <row r="2" spans="1:7" ht="23.25" x14ac:dyDescent="0.35">
      <c r="A2" s="12" t="s">
        <v>1</v>
      </c>
      <c r="B2" s="12"/>
      <c r="C2" s="12"/>
      <c r="D2" s="12"/>
      <c r="E2" s="12"/>
    </row>
    <row r="3" spans="1:7" ht="23.25" x14ac:dyDescent="0.35">
      <c r="A3" s="12" t="s">
        <v>2</v>
      </c>
      <c r="B3" s="12"/>
      <c r="C3" s="12"/>
      <c r="D3" s="12"/>
      <c r="E3" s="12"/>
    </row>
    <row r="4" spans="1:7" ht="23.25" x14ac:dyDescent="0.35">
      <c r="A4" s="12" t="s">
        <v>24</v>
      </c>
      <c r="B4" s="12"/>
      <c r="C4" s="12"/>
      <c r="D4" s="12"/>
      <c r="E4" s="12"/>
    </row>
    <row r="5" spans="1:7" ht="40.5" customHeight="1" x14ac:dyDescent="0.25">
      <c r="A5" s="13" t="s">
        <v>36</v>
      </c>
      <c r="B5" s="13"/>
      <c r="C5" s="13"/>
      <c r="D5" s="13"/>
      <c r="E5" s="13"/>
      <c r="F5" s="9" t="s">
        <v>38</v>
      </c>
      <c r="G5" s="10">
        <v>46179</v>
      </c>
    </row>
    <row r="6" spans="1:7" x14ac:dyDescent="0.25">
      <c r="A6" s="1" t="s">
        <v>3</v>
      </c>
      <c r="B6" s="1" t="s">
        <v>4</v>
      </c>
      <c r="C6" s="2" t="s">
        <v>27</v>
      </c>
      <c r="D6" s="3" t="s">
        <v>5</v>
      </c>
      <c r="E6" s="3" t="s">
        <v>6</v>
      </c>
    </row>
    <row r="7" spans="1:7" x14ac:dyDescent="0.25">
      <c r="A7" s="4">
        <v>1</v>
      </c>
      <c r="B7" s="4" t="s">
        <v>21</v>
      </c>
      <c r="C7" s="5">
        <v>20</v>
      </c>
      <c r="D7" s="1">
        <f t="shared" ref="D7:D16" si="0">C7/20*100</f>
        <v>100</v>
      </c>
      <c r="E7" s="5">
        <v>1</v>
      </c>
    </row>
    <row r="8" spans="1:7" x14ac:dyDescent="0.25">
      <c r="A8" s="4">
        <v>2</v>
      </c>
      <c r="B8" s="4" t="s">
        <v>16</v>
      </c>
      <c r="C8" s="5">
        <v>18</v>
      </c>
      <c r="D8" s="1">
        <f t="shared" si="0"/>
        <v>90</v>
      </c>
      <c r="E8" s="5">
        <v>2</v>
      </c>
    </row>
    <row r="9" spans="1:7" x14ac:dyDescent="0.25">
      <c r="A9" s="4">
        <v>3</v>
      </c>
      <c r="B9" s="4" t="s">
        <v>15</v>
      </c>
      <c r="C9" s="5">
        <v>12</v>
      </c>
      <c r="D9" s="1">
        <f t="shared" si="0"/>
        <v>60</v>
      </c>
      <c r="E9" s="5">
        <v>3</v>
      </c>
    </row>
    <row r="10" spans="1:7" x14ac:dyDescent="0.25">
      <c r="A10" s="4">
        <v>4</v>
      </c>
      <c r="B10" s="4" t="s">
        <v>18</v>
      </c>
      <c r="C10" s="5">
        <v>12</v>
      </c>
      <c r="D10" s="1">
        <f t="shared" si="0"/>
        <v>60</v>
      </c>
      <c r="E10" s="5">
        <v>3</v>
      </c>
    </row>
    <row r="11" spans="1:7" x14ac:dyDescent="0.25">
      <c r="A11" s="4">
        <v>5</v>
      </c>
      <c r="B11" s="4" t="s">
        <v>14</v>
      </c>
      <c r="C11" s="5">
        <v>12</v>
      </c>
      <c r="D11" s="1">
        <f t="shared" si="0"/>
        <v>60</v>
      </c>
      <c r="E11" s="5">
        <v>3</v>
      </c>
    </row>
    <row r="12" spans="1:7" x14ac:dyDescent="0.25">
      <c r="A12" s="4">
        <v>6</v>
      </c>
      <c r="B12" s="4" t="s">
        <v>19</v>
      </c>
      <c r="C12" s="5">
        <v>12</v>
      </c>
      <c r="D12" s="1">
        <f t="shared" si="0"/>
        <v>60</v>
      </c>
      <c r="E12" s="5">
        <v>3</v>
      </c>
    </row>
    <row r="13" spans="1:7" x14ac:dyDescent="0.25">
      <c r="A13" s="4">
        <v>7</v>
      </c>
      <c r="B13" s="4" t="s">
        <v>28</v>
      </c>
      <c r="C13" s="5">
        <v>12</v>
      </c>
      <c r="D13" s="1">
        <f t="shared" si="0"/>
        <v>60</v>
      </c>
      <c r="E13" s="5">
        <v>3</v>
      </c>
    </row>
    <row r="14" spans="1:7" x14ac:dyDescent="0.25">
      <c r="A14" s="4">
        <v>8</v>
      </c>
      <c r="B14" s="4" t="s">
        <v>17</v>
      </c>
      <c r="C14" s="5">
        <v>11</v>
      </c>
      <c r="D14" s="1">
        <f t="shared" si="0"/>
        <v>55.000000000000007</v>
      </c>
      <c r="E14" s="5">
        <v>4</v>
      </c>
    </row>
    <row r="15" spans="1:7" x14ac:dyDescent="0.25">
      <c r="A15" s="4">
        <v>9</v>
      </c>
      <c r="B15" s="4" t="s">
        <v>23</v>
      </c>
      <c r="C15" s="5" t="s">
        <v>37</v>
      </c>
      <c r="D15" s="1" t="e">
        <f t="shared" si="0"/>
        <v>#VALUE!</v>
      </c>
      <c r="E15" s="5">
        <v>0</v>
      </c>
    </row>
    <row r="16" spans="1:7" x14ac:dyDescent="0.25">
      <c r="A16" s="4">
        <v>10</v>
      </c>
      <c r="B16" s="4" t="s">
        <v>20</v>
      </c>
      <c r="C16" s="5" t="s">
        <v>37</v>
      </c>
      <c r="D16" s="1" t="e">
        <f t="shared" si="0"/>
        <v>#VALUE!</v>
      </c>
      <c r="E16" s="5">
        <v>0</v>
      </c>
    </row>
    <row r="17" spans="1:5" x14ac:dyDescent="0.25">
      <c r="C17" s="6"/>
      <c r="D17" s="6"/>
      <c r="E17" s="6"/>
    </row>
    <row r="18" spans="1:5" ht="15.75" x14ac:dyDescent="0.25">
      <c r="B18" s="7" t="s">
        <v>7</v>
      </c>
      <c r="C18" s="7" t="s">
        <v>8</v>
      </c>
      <c r="D18" s="6"/>
      <c r="E18" s="6"/>
    </row>
    <row r="19" spans="1:5" ht="15.75" x14ac:dyDescent="0.25">
      <c r="B19" s="7" t="s">
        <v>9</v>
      </c>
      <c r="C19" s="7" t="s">
        <v>10</v>
      </c>
      <c r="D19" s="6"/>
      <c r="E19" s="6"/>
    </row>
    <row r="20" spans="1:5" ht="15.75" x14ac:dyDescent="0.25">
      <c r="B20" s="7" t="s">
        <v>11</v>
      </c>
      <c r="C20" s="7" t="s">
        <v>12</v>
      </c>
      <c r="D20" s="6"/>
      <c r="E20" s="6"/>
    </row>
    <row r="22" spans="1:5" x14ac:dyDescent="0.25">
      <c r="A22" s="8" t="s">
        <v>26</v>
      </c>
    </row>
  </sheetData>
  <sortState ref="B7:D16">
    <sortCondition descending="1" ref="D7:D16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K17" sqref="K17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bestFit="1" customWidth="1"/>
    <col min="4" max="4" width="4.5703125" customWidth="1"/>
    <col min="5" max="5" width="13.7109375" customWidth="1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1</v>
      </c>
      <c r="B2" s="12"/>
      <c r="C2" s="12"/>
      <c r="D2" s="12"/>
      <c r="E2" s="12"/>
    </row>
    <row r="3" spans="1:5" ht="23.25" x14ac:dyDescent="0.35">
      <c r="A3" s="12" t="s">
        <v>2</v>
      </c>
      <c r="B3" s="12"/>
      <c r="C3" s="12"/>
      <c r="D3" s="12"/>
      <c r="E3" s="12"/>
    </row>
    <row r="4" spans="1:5" ht="23.25" x14ac:dyDescent="0.35">
      <c r="A4" s="12" t="s">
        <v>24</v>
      </c>
      <c r="B4" s="12"/>
      <c r="C4" s="12"/>
      <c r="D4" s="12"/>
      <c r="E4" s="12"/>
    </row>
    <row r="5" spans="1:5" ht="40.5" customHeight="1" x14ac:dyDescent="0.25">
      <c r="A5" s="13" t="s">
        <v>34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35</v>
      </c>
      <c r="D6" s="3" t="s">
        <v>5</v>
      </c>
      <c r="E6" s="3" t="s">
        <v>6</v>
      </c>
    </row>
    <row r="7" spans="1:5" x14ac:dyDescent="0.25">
      <c r="A7" s="4">
        <v>1</v>
      </c>
      <c r="B7" s="4" t="s">
        <v>21</v>
      </c>
      <c r="C7" s="5">
        <v>39</v>
      </c>
      <c r="D7" s="1">
        <f t="shared" ref="D7:D16" si="0">C7/45*100</f>
        <v>86.666666666666671</v>
      </c>
      <c r="E7" s="5">
        <v>1</v>
      </c>
    </row>
    <row r="8" spans="1:5" x14ac:dyDescent="0.25">
      <c r="A8" s="4">
        <v>2</v>
      </c>
      <c r="B8" s="4" t="s">
        <v>17</v>
      </c>
      <c r="C8" s="5">
        <v>26</v>
      </c>
      <c r="D8" s="1">
        <f t="shared" si="0"/>
        <v>57.777777777777771</v>
      </c>
      <c r="E8" s="5">
        <v>2</v>
      </c>
    </row>
    <row r="9" spans="1:5" x14ac:dyDescent="0.25">
      <c r="A9" s="4">
        <v>3</v>
      </c>
      <c r="B9" s="4" t="s">
        <v>14</v>
      </c>
      <c r="C9" s="5">
        <v>24</v>
      </c>
      <c r="D9" s="1">
        <f t="shared" si="0"/>
        <v>53.333333333333336</v>
      </c>
      <c r="E9" s="5">
        <v>3</v>
      </c>
    </row>
    <row r="10" spans="1:5" x14ac:dyDescent="0.25">
      <c r="A10" s="4">
        <v>4</v>
      </c>
      <c r="B10" s="4" t="s">
        <v>19</v>
      </c>
      <c r="C10" s="5">
        <v>22</v>
      </c>
      <c r="D10" s="1">
        <f t="shared" si="0"/>
        <v>48.888888888888886</v>
      </c>
      <c r="E10" s="5">
        <v>4</v>
      </c>
    </row>
    <row r="11" spans="1:5" x14ac:dyDescent="0.25">
      <c r="A11" s="4">
        <v>5</v>
      </c>
      <c r="B11" s="4" t="s">
        <v>16</v>
      </c>
      <c r="C11" s="5">
        <v>20</v>
      </c>
      <c r="D11" s="1">
        <f t="shared" si="0"/>
        <v>44.444444444444443</v>
      </c>
      <c r="E11" s="5">
        <v>5</v>
      </c>
    </row>
    <row r="12" spans="1:5" x14ac:dyDescent="0.25">
      <c r="A12" s="4">
        <v>6</v>
      </c>
      <c r="B12" s="4" t="s">
        <v>23</v>
      </c>
      <c r="C12" s="5">
        <v>20</v>
      </c>
      <c r="D12" s="1">
        <f t="shared" si="0"/>
        <v>44.444444444444443</v>
      </c>
      <c r="E12" s="5">
        <v>5</v>
      </c>
    </row>
    <row r="13" spans="1:5" x14ac:dyDescent="0.25">
      <c r="A13" s="4">
        <v>7</v>
      </c>
      <c r="B13" s="4" t="s">
        <v>18</v>
      </c>
      <c r="C13" s="5">
        <v>18.5</v>
      </c>
      <c r="D13" s="1">
        <f t="shared" si="0"/>
        <v>41.111111111111107</v>
      </c>
      <c r="E13" s="5">
        <v>6</v>
      </c>
    </row>
    <row r="14" spans="1:5" x14ac:dyDescent="0.25">
      <c r="A14" s="4">
        <v>8</v>
      </c>
      <c r="B14" s="4" t="s">
        <v>20</v>
      </c>
      <c r="C14" s="5">
        <v>13</v>
      </c>
      <c r="D14" s="1">
        <f t="shared" si="0"/>
        <v>28.888888888888886</v>
      </c>
      <c r="E14" s="5">
        <v>7</v>
      </c>
    </row>
    <row r="15" spans="1:5" x14ac:dyDescent="0.25">
      <c r="A15" s="4">
        <v>9</v>
      </c>
      <c r="B15" s="4" t="s">
        <v>15</v>
      </c>
      <c r="C15" s="5" t="s">
        <v>33</v>
      </c>
      <c r="D15" s="1" t="e">
        <f t="shared" si="0"/>
        <v>#VALUE!</v>
      </c>
      <c r="E15" s="5"/>
    </row>
    <row r="16" spans="1:5" x14ac:dyDescent="0.25">
      <c r="A16" s="4">
        <v>10</v>
      </c>
      <c r="B16" s="4" t="s">
        <v>28</v>
      </c>
      <c r="C16" s="5" t="s">
        <v>33</v>
      </c>
      <c r="D16" s="1" t="e">
        <f t="shared" si="0"/>
        <v>#VALUE!</v>
      </c>
      <c r="E16" s="5"/>
    </row>
    <row r="17" spans="1:5" x14ac:dyDescent="0.25">
      <c r="C17" s="6"/>
      <c r="D17" s="6"/>
      <c r="E17" s="6"/>
    </row>
    <row r="18" spans="1:5" ht="15.75" x14ac:dyDescent="0.25">
      <c r="B18" s="7" t="s">
        <v>7</v>
      </c>
      <c r="C18" s="7" t="s">
        <v>8</v>
      </c>
      <c r="D18" s="6"/>
      <c r="E18" s="6"/>
    </row>
    <row r="19" spans="1:5" ht="15.75" x14ac:dyDescent="0.25">
      <c r="B19" s="7" t="s">
        <v>9</v>
      </c>
      <c r="C19" s="7" t="s">
        <v>10</v>
      </c>
      <c r="D19" s="6"/>
      <c r="E19" s="6"/>
    </row>
    <row r="20" spans="1:5" ht="15.75" x14ac:dyDescent="0.25">
      <c r="B20" s="7" t="s">
        <v>11</v>
      </c>
      <c r="C20" s="7" t="s">
        <v>12</v>
      </c>
      <c r="D20" s="6"/>
      <c r="E20" s="6"/>
    </row>
    <row r="22" spans="1:5" x14ac:dyDescent="0.25">
      <c r="A22" s="8" t="s">
        <v>26</v>
      </c>
    </row>
  </sheetData>
  <sortState ref="B7:D16">
    <sortCondition descending="1" ref="D7:D16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L9" sqref="L9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bestFit="1" customWidth="1"/>
    <col min="4" max="4" width="4.5703125" customWidth="1"/>
    <col min="5" max="5" width="13.7109375" customWidth="1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1</v>
      </c>
      <c r="B2" s="12"/>
      <c r="C2" s="12"/>
      <c r="D2" s="12"/>
      <c r="E2" s="12"/>
    </row>
    <row r="3" spans="1:5" ht="23.25" x14ac:dyDescent="0.35">
      <c r="A3" s="12" t="s">
        <v>2</v>
      </c>
      <c r="B3" s="12"/>
      <c r="C3" s="12"/>
      <c r="D3" s="12"/>
      <c r="E3" s="12"/>
    </row>
    <row r="4" spans="1:5" ht="23.25" x14ac:dyDescent="0.35">
      <c r="A4" s="12" t="s">
        <v>24</v>
      </c>
      <c r="B4" s="12"/>
      <c r="C4" s="12"/>
      <c r="D4" s="12"/>
      <c r="E4" s="12"/>
    </row>
    <row r="5" spans="1:5" ht="40.5" customHeight="1" x14ac:dyDescent="0.25">
      <c r="A5" s="13" t="s">
        <v>41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27</v>
      </c>
      <c r="D6" s="3" t="s">
        <v>5</v>
      </c>
      <c r="E6" s="3" t="s">
        <v>6</v>
      </c>
    </row>
    <row r="7" spans="1:5" x14ac:dyDescent="0.25">
      <c r="A7" s="4">
        <v>1</v>
      </c>
      <c r="B7" s="4" t="s">
        <v>21</v>
      </c>
      <c r="C7" s="5">
        <v>20</v>
      </c>
      <c r="D7" s="1">
        <f t="shared" ref="D7:D16" si="0">C7/20*100</f>
        <v>100</v>
      </c>
      <c r="E7" s="5">
        <v>1</v>
      </c>
    </row>
    <row r="8" spans="1:5" x14ac:dyDescent="0.25">
      <c r="A8" s="4">
        <v>2</v>
      </c>
      <c r="B8" s="4" t="s">
        <v>16</v>
      </c>
      <c r="C8" s="5">
        <v>11</v>
      </c>
      <c r="D8" s="1">
        <f t="shared" si="0"/>
        <v>55.000000000000007</v>
      </c>
      <c r="E8" s="5">
        <v>2</v>
      </c>
    </row>
    <row r="9" spans="1:5" x14ac:dyDescent="0.25">
      <c r="A9" s="4">
        <v>3</v>
      </c>
      <c r="B9" s="4" t="s">
        <v>14</v>
      </c>
      <c r="C9" s="5">
        <v>9</v>
      </c>
      <c r="D9" s="1">
        <f t="shared" si="0"/>
        <v>45</v>
      </c>
      <c r="E9" s="5">
        <v>3</v>
      </c>
    </row>
    <row r="10" spans="1:5" x14ac:dyDescent="0.25">
      <c r="A10" s="4">
        <v>4</v>
      </c>
      <c r="B10" s="4" t="s">
        <v>17</v>
      </c>
      <c r="C10" s="5">
        <v>8</v>
      </c>
      <c r="D10" s="1">
        <f t="shared" si="0"/>
        <v>40</v>
      </c>
      <c r="E10" s="5">
        <v>4</v>
      </c>
    </row>
    <row r="11" spans="1:5" x14ac:dyDescent="0.25">
      <c r="A11" s="4">
        <v>5</v>
      </c>
      <c r="B11" s="4" t="s">
        <v>23</v>
      </c>
      <c r="C11" s="5">
        <v>8</v>
      </c>
      <c r="D11" s="1">
        <f t="shared" si="0"/>
        <v>40</v>
      </c>
      <c r="E11" s="5">
        <v>4</v>
      </c>
    </row>
    <row r="12" spans="1:5" x14ac:dyDescent="0.25">
      <c r="A12" s="4">
        <v>6</v>
      </c>
      <c r="B12" s="4" t="s">
        <v>18</v>
      </c>
      <c r="C12" s="5">
        <v>7</v>
      </c>
      <c r="D12" s="1">
        <f t="shared" si="0"/>
        <v>35</v>
      </c>
      <c r="E12" s="5">
        <v>5</v>
      </c>
    </row>
    <row r="13" spans="1:5" x14ac:dyDescent="0.25">
      <c r="A13" s="4">
        <v>7</v>
      </c>
      <c r="B13" s="4" t="s">
        <v>19</v>
      </c>
      <c r="C13" s="5">
        <v>5</v>
      </c>
      <c r="D13" s="1">
        <f t="shared" si="0"/>
        <v>25</v>
      </c>
      <c r="E13" s="5">
        <v>6</v>
      </c>
    </row>
    <row r="14" spans="1:5" x14ac:dyDescent="0.25">
      <c r="A14" s="4">
        <v>8</v>
      </c>
      <c r="B14" s="4" t="s">
        <v>28</v>
      </c>
      <c r="C14" s="5">
        <v>5</v>
      </c>
      <c r="D14" s="1">
        <f t="shared" si="0"/>
        <v>25</v>
      </c>
      <c r="E14" s="5">
        <v>6</v>
      </c>
    </row>
    <row r="15" spans="1:5" x14ac:dyDescent="0.25">
      <c r="A15" s="4">
        <v>9</v>
      </c>
      <c r="B15" s="4" t="s">
        <v>20</v>
      </c>
      <c r="C15" s="5"/>
      <c r="D15" s="1">
        <f t="shared" si="0"/>
        <v>0</v>
      </c>
      <c r="E15" s="5">
        <v>0</v>
      </c>
    </row>
    <row r="16" spans="1:5" x14ac:dyDescent="0.25">
      <c r="A16" s="4">
        <v>10</v>
      </c>
      <c r="B16" s="4" t="s">
        <v>15</v>
      </c>
      <c r="C16" s="5"/>
      <c r="D16" s="1">
        <f t="shared" si="0"/>
        <v>0</v>
      </c>
      <c r="E16" s="5">
        <v>0</v>
      </c>
    </row>
    <row r="17" spans="1:5" x14ac:dyDescent="0.25">
      <c r="C17" s="6"/>
      <c r="D17" s="6"/>
      <c r="E17" s="6"/>
    </row>
    <row r="18" spans="1:5" ht="15.75" x14ac:dyDescent="0.25">
      <c r="B18" s="7" t="s">
        <v>7</v>
      </c>
      <c r="C18" s="7" t="s">
        <v>8</v>
      </c>
      <c r="D18" s="6"/>
      <c r="E18" s="6"/>
    </row>
    <row r="19" spans="1:5" ht="15.75" x14ac:dyDescent="0.25">
      <c r="B19" s="7" t="s">
        <v>9</v>
      </c>
      <c r="C19" s="7" t="s">
        <v>10</v>
      </c>
      <c r="D19" s="6"/>
      <c r="E19" s="6"/>
    </row>
    <row r="20" spans="1:5" ht="15.75" x14ac:dyDescent="0.25">
      <c r="B20" s="7" t="s">
        <v>11</v>
      </c>
      <c r="C20" s="7" t="s">
        <v>12</v>
      </c>
      <c r="D20" s="6"/>
      <c r="E20" s="6"/>
    </row>
    <row r="22" spans="1:5" x14ac:dyDescent="0.25">
      <c r="A22" s="8" t="s">
        <v>26</v>
      </c>
    </row>
  </sheetData>
  <sortState ref="B7:D16">
    <sortCondition descending="1" ref="D7:D16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K10" sqref="J10:K10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bestFit="1" customWidth="1"/>
    <col min="4" max="4" width="4.5703125" customWidth="1"/>
    <col min="5" max="5" width="13.7109375" customWidth="1"/>
  </cols>
  <sheetData>
    <row r="1" spans="1:5" ht="25.5" x14ac:dyDescent="0.35">
      <c r="A1" s="11" t="s">
        <v>0</v>
      </c>
      <c r="B1" s="11"/>
      <c r="C1" s="11"/>
      <c r="D1" s="11"/>
      <c r="E1" s="11"/>
    </row>
    <row r="2" spans="1:5" ht="23.25" x14ac:dyDescent="0.35">
      <c r="A2" s="12" t="s">
        <v>1</v>
      </c>
      <c r="B2" s="12"/>
      <c r="C2" s="12"/>
      <c r="D2" s="12"/>
      <c r="E2" s="12"/>
    </row>
    <row r="3" spans="1:5" ht="23.25" x14ac:dyDescent="0.35">
      <c r="A3" s="12" t="s">
        <v>2</v>
      </c>
      <c r="B3" s="12"/>
      <c r="C3" s="12"/>
      <c r="D3" s="12"/>
      <c r="E3" s="12"/>
    </row>
    <row r="4" spans="1:5" ht="23.25" x14ac:dyDescent="0.35">
      <c r="A4" s="12" t="s">
        <v>24</v>
      </c>
      <c r="B4" s="12"/>
      <c r="C4" s="12"/>
      <c r="D4" s="12"/>
      <c r="E4" s="12"/>
    </row>
    <row r="5" spans="1:5" ht="40.5" customHeight="1" x14ac:dyDescent="0.25">
      <c r="A5" s="13" t="s">
        <v>39</v>
      </c>
      <c r="B5" s="13"/>
      <c r="C5" s="13"/>
      <c r="D5" s="13"/>
      <c r="E5" s="13"/>
    </row>
    <row r="6" spans="1:5" x14ac:dyDescent="0.25">
      <c r="A6" s="1" t="s">
        <v>3</v>
      </c>
      <c r="B6" s="1" t="s">
        <v>4</v>
      </c>
      <c r="C6" s="2" t="s">
        <v>40</v>
      </c>
      <c r="D6" s="3" t="s">
        <v>5</v>
      </c>
      <c r="E6" s="3" t="s">
        <v>6</v>
      </c>
    </row>
    <row r="7" spans="1:5" x14ac:dyDescent="0.25">
      <c r="A7" s="4">
        <v>1</v>
      </c>
      <c r="B7" s="4" t="s">
        <v>21</v>
      </c>
      <c r="C7" s="5">
        <v>10.5</v>
      </c>
      <c r="D7" s="1">
        <f t="shared" ref="D7:D16" si="0">C7/12*100</f>
        <v>87.5</v>
      </c>
      <c r="E7" s="5">
        <v>1</v>
      </c>
    </row>
    <row r="8" spans="1:5" x14ac:dyDescent="0.25">
      <c r="A8" s="4">
        <v>2</v>
      </c>
      <c r="B8" s="4" t="s">
        <v>15</v>
      </c>
      <c r="C8" s="5">
        <v>10.5</v>
      </c>
      <c r="D8" s="1">
        <f t="shared" si="0"/>
        <v>87.5</v>
      </c>
      <c r="E8" s="5">
        <v>1</v>
      </c>
    </row>
    <row r="9" spans="1:5" x14ac:dyDescent="0.25">
      <c r="A9" s="4">
        <v>3</v>
      </c>
      <c r="B9" s="4" t="s">
        <v>16</v>
      </c>
      <c r="C9" s="5">
        <v>10</v>
      </c>
      <c r="D9" s="1">
        <f t="shared" si="0"/>
        <v>83.333333333333343</v>
      </c>
      <c r="E9" s="5">
        <v>2</v>
      </c>
    </row>
    <row r="10" spans="1:5" x14ac:dyDescent="0.25">
      <c r="A10" s="4">
        <v>4</v>
      </c>
      <c r="B10" s="4" t="s">
        <v>23</v>
      </c>
      <c r="C10" s="5">
        <v>9</v>
      </c>
      <c r="D10" s="1">
        <f t="shared" si="0"/>
        <v>75</v>
      </c>
      <c r="E10" s="5">
        <v>3</v>
      </c>
    </row>
    <row r="11" spans="1:5" x14ac:dyDescent="0.25">
      <c r="A11" s="4">
        <v>5</v>
      </c>
      <c r="B11" s="4" t="s">
        <v>18</v>
      </c>
      <c r="C11" s="5">
        <v>8</v>
      </c>
      <c r="D11" s="1">
        <f t="shared" si="0"/>
        <v>66.666666666666657</v>
      </c>
      <c r="E11" s="5">
        <v>4</v>
      </c>
    </row>
    <row r="12" spans="1:5" x14ac:dyDescent="0.25">
      <c r="A12" s="4">
        <v>6</v>
      </c>
      <c r="B12" s="4" t="s">
        <v>19</v>
      </c>
      <c r="C12" s="5">
        <v>6.5</v>
      </c>
      <c r="D12" s="1">
        <f t="shared" si="0"/>
        <v>54.166666666666664</v>
      </c>
      <c r="E12" s="5">
        <v>5</v>
      </c>
    </row>
    <row r="13" spans="1:5" x14ac:dyDescent="0.25">
      <c r="A13" s="4">
        <v>7</v>
      </c>
      <c r="B13" s="4" t="s">
        <v>14</v>
      </c>
      <c r="C13" s="5">
        <v>6</v>
      </c>
      <c r="D13" s="1">
        <f t="shared" si="0"/>
        <v>50</v>
      </c>
      <c r="E13" s="5">
        <v>6</v>
      </c>
    </row>
    <row r="14" spans="1:5" x14ac:dyDescent="0.25">
      <c r="A14" s="4">
        <v>8</v>
      </c>
      <c r="B14" s="4" t="s">
        <v>17</v>
      </c>
      <c r="C14" s="5">
        <v>6</v>
      </c>
      <c r="D14" s="1">
        <f t="shared" si="0"/>
        <v>50</v>
      </c>
      <c r="E14" s="5">
        <v>6</v>
      </c>
    </row>
    <row r="15" spans="1:5" x14ac:dyDescent="0.25">
      <c r="A15" s="4">
        <v>9</v>
      </c>
      <c r="B15" s="4" t="s">
        <v>28</v>
      </c>
      <c r="C15" s="5">
        <v>5</v>
      </c>
      <c r="D15" s="1">
        <f t="shared" si="0"/>
        <v>41.666666666666671</v>
      </c>
      <c r="E15" s="5">
        <v>7</v>
      </c>
    </row>
    <row r="16" spans="1:5" x14ac:dyDescent="0.25">
      <c r="A16" s="4">
        <v>10</v>
      </c>
      <c r="B16" s="4" t="s">
        <v>20</v>
      </c>
      <c r="C16" s="5"/>
      <c r="D16" s="1">
        <f t="shared" si="0"/>
        <v>0</v>
      </c>
      <c r="E16" s="5">
        <v>0</v>
      </c>
    </row>
    <row r="17" spans="1:5" x14ac:dyDescent="0.25">
      <c r="C17" s="6"/>
      <c r="D17" s="6"/>
      <c r="E17" s="6"/>
    </row>
    <row r="18" spans="1:5" ht="15.75" x14ac:dyDescent="0.25">
      <c r="B18" s="7" t="s">
        <v>7</v>
      </c>
      <c r="C18" s="7" t="s">
        <v>8</v>
      </c>
      <c r="D18" s="6"/>
      <c r="E18" s="6"/>
    </row>
    <row r="19" spans="1:5" ht="15.75" x14ac:dyDescent="0.25">
      <c r="B19" s="7" t="s">
        <v>9</v>
      </c>
      <c r="C19" s="7" t="s">
        <v>10</v>
      </c>
      <c r="D19" s="6"/>
      <c r="E19" s="6"/>
    </row>
    <row r="20" spans="1:5" ht="15.75" x14ac:dyDescent="0.25">
      <c r="B20" s="7" t="s">
        <v>11</v>
      </c>
      <c r="C20" s="7" t="s">
        <v>12</v>
      </c>
      <c r="D20" s="6"/>
      <c r="E20" s="6"/>
    </row>
    <row r="22" spans="1:5" x14ac:dyDescent="0.25">
      <c r="A22" s="8" t="s">
        <v>26</v>
      </c>
    </row>
  </sheetData>
  <sortState ref="B7:D16">
    <sortCondition descending="1" ref="D7:D16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Sheet1 (2)</vt:lpstr>
      <vt:lpstr>Sheet1 (3)</vt:lpstr>
      <vt:lpstr>Sheet1 (4)</vt:lpstr>
      <vt:lpstr>BRS</vt:lpstr>
      <vt:lpstr>Sheet1 (5)</vt:lpstr>
      <vt:lpstr>DEPRECIATION</vt:lpstr>
      <vt:lpstr>INCOMPLETE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2026-09-14T10:40:41Z</dcterms:modified>
</cp:coreProperties>
</file>